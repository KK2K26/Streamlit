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KathyayiniKamath\Downloads\Sneha\Streamlit\"/>
    </mc:Choice>
  </mc:AlternateContent>
  <xr:revisionPtr revIDLastSave="0" documentId="13_ncr:1_{29FE7635-55B9-4C3A-AA97-B954E1D5C739}" xr6:coauthVersionLast="47" xr6:coauthVersionMax="47" xr10:uidLastSave="{00000000-0000-0000-0000-000000000000}"/>
  <bookViews>
    <workbookView xWindow="-110" yWindow="-110" windowWidth="19420" windowHeight="11500" xr2:uid="{138E5CC3-8DC0-403C-93EA-AD8781E45CB1}"/>
  </bookViews>
  <sheets>
    <sheet name="main data" sheetId="1" r:id="rId1"/>
    <sheet name="SLA" sheetId="2" r:id="rId2"/>
    <sheet name="Pivot table" sheetId="11" r:id="rId3"/>
    <sheet name="Sheet1" sheetId="3" r:id="rId4"/>
  </sheets>
  <definedNames>
    <definedName name="_xlnm._FilterDatabase" localSheetId="0" hidden="1">'main data'!$A$1:$BE$152</definedName>
  </definedNames>
  <calcPr calcId="191029"/>
  <pivotCaches>
    <pivotCache cacheId="11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G3" i="2" s="1"/>
  <c r="F4" i="2"/>
  <c r="G4" i="2" s="1"/>
  <c r="F5" i="2"/>
  <c r="G5" i="2" s="1"/>
  <c r="F6" i="2"/>
  <c r="G6" i="2" s="1"/>
  <c r="F7" i="2"/>
  <c r="G7" i="2" s="1"/>
  <c r="F8" i="2"/>
  <c r="G8" i="2" s="1"/>
  <c r="F9" i="2"/>
  <c r="G9" i="2" s="1"/>
  <c r="F10" i="2"/>
  <c r="G10" i="2" s="1"/>
  <c r="F11" i="2"/>
  <c r="G11" i="2" s="1"/>
  <c r="F12" i="2"/>
  <c r="G12" i="2" s="1"/>
  <c r="F13" i="2"/>
  <c r="G13" i="2" s="1"/>
  <c r="F14" i="2"/>
  <c r="G14" i="2" s="1"/>
  <c r="F15" i="2"/>
  <c r="G15" i="2" s="1"/>
  <c r="F16" i="2"/>
  <c r="G16" i="2" s="1"/>
  <c r="F17" i="2"/>
  <c r="G17" i="2" s="1"/>
  <c r="F18" i="2"/>
  <c r="G18" i="2" s="1"/>
  <c r="F19" i="2"/>
  <c r="G19" i="2" s="1"/>
  <c r="F20" i="2"/>
  <c r="G20" i="2" s="1"/>
  <c r="F21" i="2"/>
  <c r="G21" i="2" s="1"/>
  <c r="F22" i="2"/>
  <c r="G22" i="2" s="1"/>
  <c r="F23" i="2"/>
  <c r="G23" i="2" s="1"/>
  <c r="F24" i="2"/>
  <c r="G24" i="2" s="1"/>
  <c r="F25" i="2"/>
  <c r="G25" i="2" s="1"/>
  <c r="F26" i="2"/>
  <c r="G26" i="2" s="1"/>
  <c r="F27" i="2"/>
  <c r="G27" i="2" s="1"/>
  <c r="F28" i="2"/>
  <c r="G28" i="2" s="1"/>
  <c r="F29" i="2"/>
  <c r="G29" i="2" s="1"/>
  <c r="F30" i="2"/>
  <c r="G30" i="2" s="1"/>
  <c r="F31" i="2"/>
  <c r="G31" i="2" s="1"/>
  <c r="F32" i="2"/>
  <c r="G32" i="2" s="1"/>
  <c r="F33" i="2"/>
  <c r="G33" i="2" s="1"/>
  <c r="F34" i="2"/>
  <c r="G34" i="2" s="1"/>
  <c r="F35" i="2"/>
  <c r="G35" i="2" s="1"/>
  <c r="F36" i="2"/>
  <c r="G36" i="2" s="1"/>
  <c r="F37" i="2"/>
  <c r="G37" i="2" s="1"/>
  <c r="F38" i="2"/>
  <c r="G38" i="2" s="1"/>
  <c r="F39" i="2"/>
  <c r="G39" i="2" s="1"/>
  <c r="F40" i="2"/>
  <c r="G40" i="2" s="1"/>
  <c r="F41" i="2"/>
  <c r="G41" i="2" s="1"/>
  <c r="F42" i="2"/>
  <c r="G42" i="2" s="1"/>
  <c r="F43" i="2"/>
  <c r="G43" i="2" s="1"/>
  <c r="F44" i="2"/>
  <c r="G44" i="2" s="1"/>
  <c r="F45" i="2"/>
  <c r="G45" i="2" s="1"/>
  <c r="F46" i="2"/>
  <c r="G46" i="2" s="1"/>
  <c r="F47" i="2"/>
  <c r="G47" i="2" s="1"/>
  <c r="F48" i="2"/>
  <c r="G48" i="2" s="1"/>
  <c r="F49" i="2"/>
  <c r="G49" i="2" s="1"/>
  <c r="F50" i="2"/>
  <c r="G50" i="2" s="1"/>
  <c r="F51" i="2"/>
  <c r="G51" i="2" s="1"/>
  <c r="F52" i="2"/>
  <c r="G52" i="2" s="1"/>
  <c r="F53" i="2"/>
  <c r="G53" i="2" s="1"/>
  <c r="F54" i="2"/>
  <c r="G54" i="2" s="1"/>
  <c r="F55" i="2"/>
  <c r="G55" i="2" s="1"/>
  <c r="F56" i="2"/>
  <c r="G56" i="2" s="1"/>
  <c r="F57" i="2"/>
  <c r="G57" i="2" s="1"/>
  <c r="F58" i="2"/>
  <c r="G58" i="2" s="1"/>
  <c r="F59" i="2"/>
  <c r="G59" i="2" s="1"/>
  <c r="F60" i="2"/>
  <c r="G60" i="2" s="1"/>
  <c r="F61" i="2"/>
  <c r="G61" i="2" s="1"/>
  <c r="F62" i="2"/>
  <c r="G62" i="2" s="1"/>
  <c r="F63" i="2"/>
  <c r="G63" i="2" s="1"/>
  <c r="F64" i="2"/>
  <c r="G64" i="2" s="1"/>
  <c r="F65" i="2"/>
  <c r="G65" i="2" s="1"/>
  <c r="F66" i="2"/>
  <c r="G66" i="2" s="1"/>
  <c r="F67" i="2"/>
  <c r="G67" i="2" s="1"/>
  <c r="F68" i="2"/>
  <c r="G68" i="2" s="1"/>
  <c r="F69" i="2"/>
  <c r="G69" i="2" s="1"/>
  <c r="F70" i="2"/>
  <c r="G70" i="2" s="1"/>
  <c r="F71" i="2"/>
  <c r="G71" i="2" s="1"/>
  <c r="F72" i="2"/>
  <c r="G72" i="2" s="1"/>
  <c r="F73" i="2"/>
  <c r="G73" i="2" s="1"/>
  <c r="F74" i="2"/>
  <c r="G74" i="2" s="1"/>
  <c r="F75" i="2"/>
  <c r="G75" i="2" s="1"/>
  <c r="F76" i="2"/>
  <c r="G76" i="2" s="1"/>
  <c r="F77" i="2"/>
  <c r="G77" i="2" s="1"/>
  <c r="F78" i="2"/>
  <c r="G78" i="2" s="1"/>
  <c r="F79" i="2"/>
  <c r="G79" i="2" s="1"/>
  <c r="F80" i="2"/>
  <c r="G80" i="2" s="1"/>
  <c r="F81" i="2"/>
  <c r="G81" i="2" s="1"/>
  <c r="F82" i="2"/>
  <c r="G82" i="2" s="1"/>
  <c r="F83" i="2"/>
  <c r="G83" i="2" s="1"/>
  <c r="F84" i="2"/>
  <c r="G84" i="2" s="1"/>
  <c r="F85" i="2"/>
  <c r="G85" i="2" s="1"/>
  <c r="F86" i="2"/>
  <c r="G86" i="2" s="1"/>
  <c r="F87" i="2"/>
  <c r="G87" i="2" s="1"/>
  <c r="F88" i="2"/>
  <c r="G88" i="2" s="1"/>
  <c r="F89" i="2"/>
  <c r="G89" i="2" s="1"/>
  <c r="F90" i="2"/>
  <c r="G90" i="2" s="1"/>
  <c r="F91" i="2"/>
  <c r="G91" i="2" s="1"/>
  <c r="F92" i="2"/>
  <c r="G92" i="2" s="1"/>
  <c r="F93" i="2"/>
  <c r="G93" i="2" s="1"/>
  <c r="F94" i="2"/>
  <c r="G94" i="2" s="1"/>
  <c r="F95" i="2"/>
  <c r="G95" i="2" s="1"/>
  <c r="F96" i="2"/>
  <c r="G96" i="2" s="1"/>
  <c r="F97" i="2"/>
  <c r="G97" i="2" s="1"/>
  <c r="F98" i="2"/>
  <c r="G98" i="2" s="1"/>
  <c r="F99" i="2"/>
  <c r="G99" i="2" s="1"/>
  <c r="F100" i="2"/>
  <c r="G100" i="2" s="1"/>
  <c r="F101" i="2"/>
  <c r="G101" i="2" s="1"/>
  <c r="F102" i="2"/>
  <c r="G102" i="2" s="1"/>
  <c r="F103" i="2"/>
  <c r="G103" i="2" s="1"/>
  <c r="F104" i="2"/>
  <c r="G104" i="2" s="1"/>
  <c r="F105" i="2"/>
  <c r="G105" i="2" s="1"/>
  <c r="F106" i="2"/>
  <c r="G106" i="2" s="1"/>
  <c r="F107" i="2"/>
  <c r="G107" i="2" s="1"/>
  <c r="F108" i="2"/>
  <c r="G108" i="2" s="1"/>
  <c r="F109" i="2"/>
  <c r="G109" i="2" s="1"/>
  <c r="F110" i="2"/>
  <c r="G110" i="2" s="1"/>
  <c r="F111" i="2"/>
  <c r="G111" i="2" s="1"/>
  <c r="F112" i="2"/>
  <c r="G112" i="2" s="1"/>
  <c r="F113" i="2"/>
  <c r="G113" i="2" s="1"/>
  <c r="F114" i="2"/>
  <c r="G114" i="2" s="1"/>
  <c r="F115" i="2"/>
  <c r="G115" i="2" s="1"/>
  <c r="F116" i="2"/>
  <c r="G116" i="2" s="1"/>
  <c r="F117" i="2"/>
  <c r="G117" i="2" s="1"/>
  <c r="F118" i="2"/>
  <c r="G118" i="2" s="1"/>
  <c r="F119" i="2"/>
  <c r="G119" i="2" s="1"/>
  <c r="F120" i="2"/>
  <c r="G120" i="2" s="1"/>
  <c r="F121" i="2"/>
  <c r="G121" i="2" s="1"/>
  <c r="F122" i="2"/>
  <c r="G122" i="2" s="1"/>
  <c r="F123" i="2"/>
  <c r="G123" i="2" s="1"/>
  <c r="F124" i="2"/>
  <c r="G124" i="2" s="1"/>
  <c r="F125" i="2"/>
  <c r="G125" i="2" s="1"/>
  <c r="F126" i="2"/>
  <c r="G126" i="2" s="1"/>
  <c r="F127" i="2"/>
  <c r="G127" i="2" s="1"/>
  <c r="F128" i="2"/>
  <c r="G128" i="2" s="1"/>
  <c r="F129" i="2"/>
  <c r="G129" i="2" s="1"/>
  <c r="F130" i="2"/>
  <c r="G130" i="2" s="1"/>
  <c r="F131" i="2"/>
  <c r="G131" i="2" s="1"/>
  <c r="F132" i="2"/>
  <c r="G132" i="2" s="1"/>
  <c r="F133" i="2"/>
  <c r="G133" i="2" s="1"/>
  <c r="F134" i="2"/>
  <c r="G134" i="2" s="1"/>
  <c r="F135" i="2"/>
  <c r="G135" i="2" s="1"/>
  <c r="F136" i="2"/>
  <c r="G136" i="2" s="1"/>
  <c r="F137" i="2"/>
  <c r="G137" i="2" s="1"/>
  <c r="F138" i="2"/>
  <c r="G138" i="2" s="1"/>
  <c r="F139" i="2"/>
  <c r="G139" i="2" s="1"/>
  <c r="F140" i="2"/>
  <c r="G140" i="2" s="1"/>
  <c r="F141" i="2"/>
  <c r="G141" i="2" s="1"/>
  <c r="F142" i="2"/>
  <c r="G142" i="2" s="1"/>
  <c r="F143" i="2"/>
  <c r="G143" i="2" s="1"/>
  <c r="F144" i="2"/>
  <c r="G144" i="2" s="1"/>
  <c r="F145" i="2"/>
  <c r="G145" i="2" s="1"/>
  <c r="F146" i="2"/>
  <c r="G146" i="2" s="1"/>
  <c r="F147" i="2"/>
  <c r="G147" i="2" s="1"/>
  <c r="F148" i="2"/>
  <c r="G148" i="2" s="1"/>
  <c r="F149" i="2"/>
  <c r="G149" i="2" s="1"/>
  <c r="F150" i="2"/>
  <c r="G150" i="2" s="1"/>
  <c r="F151" i="2"/>
  <c r="G151" i="2" s="1"/>
  <c r="F152" i="2"/>
  <c r="G152" i="2" s="1"/>
  <c r="F153" i="2"/>
  <c r="G153" i="2" s="1"/>
  <c r="F154" i="2"/>
  <c r="G154" i="2" s="1"/>
  <c r="F155" i="2"/>
  <c r="G155" i="2" s="1"/>
  <c r="F156" i="2"/>
  <c r="G156" i="2" s="1"/>
  <c r="F157" i="2"/>
  <c r="G157" i="2" s="1"/>
  <c r="F158" i="2"/>
  <c r="G158" i="2" s="1"/>
  <c r="F159" i="2"/>
  <c r="G159" i="2" s="1"/>
  <c r="F160" i="2"/>
  <c r="G160" i="2" s="1"/>
  <c r="F161" i="2"/>
  <c r="G161" i="2" s="1"/>
  <c r="F162" i="2"/>
  <c r="G162" i="2" s="1"/>
  <c r="F163" i="2"/>
  <c r="G163" i="2" s="1"/>
  <c r="F2" i="2"/>
  <c r="H2" i="2" s="1"/>
  <c r="G2" i="2" l="1"/>
</calcChain>
</file>

<file path=xl/sharedStrings.xml><?xml version="1.0" encoding="utf-8"?>
<sst xmlns="http://schemas.openxmlformats.org/spreadsheetml/2006/main" count="2528" uniqueCount="519">
  <si>
    <t>ID</t>
  </si>
  <si>
    <t>Title</t>
  </si>
  <si>
    <t>Entity</t>
  </si>
  <si>
    <t>Type</t>
  </si>
  <si>
    <t>Status</t>
  </si>
  <si>
    <t>Category</t>
  </si>
  <si>
    <t>Opening date</t>
  </si>
  <si>
    <t>Requester - Requester</t>
  </si>
  <si>
    <t>Urgency</t>
  </si>
  <si>
    <t>Reported Priority</t>
  </si>
  <si>
    <t>Impact</t>
  </si>
  <si>
    <t>Priority</t>
  </si>
  <si>
    <t>PL_Tools Incident - Integrated AIOps (AIOPS)</t>
  </si>
  <si>
    <t>EMEA &gt; PROD &gt; KDL &gt; PL_TOOLS</t>
  </si>
  <si>
    <t>Incident</t>
  </si>
  <si>
    <t>Processing (assigned)</t>
  </si>
  <si>
    <t>K-PLTools-AIOPs-EU-Delivery-Support</t>
  </si>
  <si>
    <t>PL_TOOLS &gt; AIOPS</t>
  </si>
  <si>
    <t>Medium</t>
  </si>
  <si>
    <t>High</t>
  </si>
  <si>
    <t>Pending</t>
  </si>
  <si>
    <t>K-PLTools-AIOPs-Americas-Delivery-Support</t>
  </si>
  <si>
    <t>Inquiry / Help</t>
  </si>
  <si>
    <t>K-PLTools-AIOPs-AP-Delivery-Support</t>
  </si>
  <si>
    <t>PL_Tools Request - Integrated AIOps (AIOPS)</t>
  </si>
  <si>
    <t>Request</t>
  </si>
  <si>
    <t>Low</t>
  </si>
  <si>
    <t>PL_TOOLS</t>
  </si>
  <si>
    <t>K-PLTools-AIOPs-IN-Delivery-Support</t>
  </si>
  <si>
    <t>Very High</t>
  </si>
  <si>
    <t>PL_Tools Request - Kyndryl Bridge</t>
  </si>
  <si>
    <t>Last update</t>
  </si>
  <si>
    <t>Description</t>
  </si>
  <si>
    <t>PL_TOOLS &gt; ISG</t>
  </si>
  <si>
    <t>SLA Bucket</t>
  </si>
  <si>
    <t>Ticket ID</t>
  </si>
  <si>
    <t>Created Date &amp; Time</t>
  </si>
  <si>
    <t>Closed Date</t>
  </si>
  <si>
    <t>Aging (Days)</t>
  </si>
  <si>
    <t>SLA Status</t>
  </si>
  <si>
    <t>Open</t>
  </si>
  <si>
    <t>FORM DATA PLATFORM TOOLS - BASIC DETAILS 1) SHORT DESCRIPTION : Correct AIOPS entries 2) DESCRIPTION OF REQUEST : There are many wrong entries on AIOPS from Brazil team. Please correct 3) CAPABILITY/TOOL : Integrated AIOps (AIOPS) 4) ACCOUNT LOOKUP (IF KNOWN) : *Multiple Customers 5) LIST OF CUSTOMER : *Multiple Customers 6) CUSTOMER LIST : Please find attached list. Column B describe the expected action. 7) ORG MARKET : Strategic Markets 8) ADDITIONAL DETAILS : 9) NOTIFY : Tozelli Nolli Ricardo Rocha Moreira Aline Da 10) ATTACHMENTS (EVIDENCE, SCREENSHOTS, LOGS,ETC) : Attached document PLATFORM TOOLS - INTEGRATED AIOPS (AIOPS) DETAILS 11) AIOPS LOCATION : Integrated AIOPs - Global 12) AIOPS INSTANCE : Global 13) TYPE OF REQUEST : AIOPS - OU Update</t>
  </si>
  <si>
    <t>FORM DATA PLATFORM TOOLS - BASIC DETAILS 1) SHORT DESCRIPTION : Remove the Nessus Hoteles Peru S.A. account from AIOps. 2) DESCRIPTION OF REQUEST : Remove the Nessus Hoteles Peru S.A. account from AIOps because the account is no longer with Kyndryl. 3) CAPABILITY/TOOL : Integrated AIOps (AIOPS) 4) KYNDRYL BRIDGE CUSTOMER FOR AIOPS LOOKUP (IF KNOWN) : Nessus Hoteles Peru S.A - nsu (BAC00010E9-PE) es.was1 5) ORG MARKET : Strategic Markets 6) ADDITIONAL DETAILS : The inventory no longer has any CIs. 7) NOTIFY : 8) ATTACHMENTS (EVIDENCE, SCREENSHOTS, LOGS,ETC) : Attached document PLATFORM TOOLS - INTEGRATED AIOPS (AIOPS) DETAILS 9) AIOPS LOCATION : Integrated AIOPs - NA 10) AIOPS INSTANCE : Americas 11) TYPE OF REQUEST : AIOPS - General Request</t>
  </si>
  <si>
    <t>FORM DATA PLATFORM TOOLS - CUSTOMER DETAILS 1) CAPABILITY/TOOL : Integrated AIOps (AIOPS) 2) ACCOUNT LOOKUP (IF KNOWN) : *Multiple Customers 3) LIST OF CUSTOMER : *Multiple Customers 4) CUSTOMERS LIST : 5) AIOPS LOCATION : Integrated AIOPs - EU PLATFORM TOOLS - AIOPS REQUEST DETAILS 6) AIOPS DATA PLANE : 7) IMPACTED COUNTRY : Italy 8) ACCOUNT DPE NAME : cliff.lin@kyndryl.com, renzo.colombo@kyndryl.com, zeki.ozen@kyndryl.com 9) ACCOUNT DPE EMAIL : zeki.ozen@kyndryl.com 10) DPE EMAIL APPROVAL ATTACHMENT : Attached document 11) DESCRIPTION : Hi Team, Could you please help in offboarding the below inactive BAC's and its respective OU's. The mentioned DPE's are not active. Hence the approvals couldnt be taken for these. Checked in ARMS as well, there are no approvers there for these 2 accounts. BAC ID ou_id Account Name BAC00010EB f92e47fa5858.1 ALFA GOMMA SPA - IT BAC0002965 e90bd25e5425.1 UNO Unable to access the offboarding form as well. 12) ATTACHED OFFBOARDING FORM : Attached document PLATFORM TOOLS - ADDITIONAL INFORMATION 13) NOTIFY : 14) ATTACHMENTS (EVIDENCE, SCREENSHOTS, LOGS,ETC) : No attached document</t>
  </si>
  <si>
    <t>FORM DATA PLATFORM TOOLS - CUSTOMER DETAILS 1) CAPABILITY/TOOL : Integrated AIOps (AIOPS) 2) ACCOUNT LOOKUP (IF KNOWN) : *Not a customer account / not found 3) GSMA CODE : 4) NAME : 5) BAC / BAM ID : BAC000249F 6) COUNTRY : 7) AIOPS LOCATION : Integrated AIOPs - NA PLATFORM TOOLS - AIOPS REQUEST DETAILS 8) AIOPS DATA PLANE : 9) IMPACTED COUNTRY : USA 10) ACCOUNT DPE NAME : cristina.raquel.cruz.camino@kyndryl.com 11) ACCOUNT DPE EMAIL : cristina.raquel.cruz.camino@kyndryl.com 12) DPE EMAIL APPROVAL ATTACHMENT : Attached document 13) DESCRIPTION : Hi Team, Could you please get the below mentioned BAC along with its OU to be offboarded as this is an inactive BAC and unassigned to any account in BPM. Attached is the approval of DPE. Unable to access the offboarding for the screenshot for the same. BAC ID ou_id BAC000249F 1a35405c77c0.1 14) ATTACHED OFFBOARDING FORM : Attached document PLATFORM TOOLS - ADDITIONAL INFORMATION 15) NOTIFY : 16) ATTACHMENTS (EVIDENCE, SCREENSHOTS, LOGS,ETC) : No attached document</t>
  </si>
  <si>
    <t>K-PLTools-AIOPs-Bridge-Delivery-Support</t>
  </si>
  <si>
    <t>PL_TOOLS &gt; KB</t>
  </si>
  <si>
    <t>PL_TOOLS &gt; IS</t>
  </si>
  <si>
    <t>FORM DATA PLATFORM TOOLS - BASIC DETAILS 1) SHORT DESCRIPTION : SSAB - offboarding request 2) DESCRIPTION OF REQUEST : Contract ended in April 2025. 3) CAPABILITY/TOOL : Kyndryl Bridge 4) ACCOUNT LOOKUP (IF KNOWN) : sb1 - SSAB AB - Sweden - BAC000023E - Mkt: Strategic Market 5) ORG MARKET : Strategic Markets 6) ADDITIONAL DETAILS : Requested by DP. 7) NOTIFY : 8) ATTACHMENTS (EVIDENCE, SCREENSHOTS, LOGS,ETC) : No attached document PLATFORM TOOLS - KYNDRYL BRIDGE DETAILS 9) LOCATION OF CAPABILITY/TOOL INSTANCE : Kyndryl Bridge - Global 10) TYPE OF REQUEST : General Request</t>
  </si>
  <si>
    <t>PLATFORM TOOLS - BASIC DETAILS 1) SHORT DESCRIPTION: Removal of BAC from OU 2) DESCRIPTION OF REQUEST: Hi Team, Could you please remove the BAC: BAC0003647 from the OU: 481ac22f03e0.1 as its a closed BAC in BPM. Attached is the approval from DPE. 3) CAPABILITY/TOOL: Integrated AIOps (AIOPS) 4) KYNDRYL BRIDGE CUSTOMER FOR AIOPS LOOKUP (IF KNOWN): *Not a customer account / not found 5) ORG MARKET: Strategic Markets 6) ADDITIONAL DETAILS: 7) NOTIFY: 8) ATTACHMENTS (EVIDENCE, SCREENSHOTS, LOGS,ETC): Confirmation Required_ Offboarding of Closed BACs in BPM - Kavya Sanam - Outlook.pdf PLATFORM TOOLS - INTEGRATED AIOPS (AIOPS) DETAILS 1) AIOPS LOCATION: Integrated AIOPs - EU 2) AIOPS INSTANCE: Europe 3) TYPE OF REQUEST: AIOPS - General Request</t>
  </si>
  <si>
    <t>PLATFORM TOOLS - AIOPS REQUEST DETAILS 1) CAPABILITY/TOOL: Integrated AIOps (AIOPS) 2) ORG UNIT: Commercial Shared 3) POOL NAME: SNI Shared Comm Infra 4) ATTACH THE CSI TEMPLATE RECEIVED FROM THE MAILBOX: New Pool Creation Template_SNI SCI.xlsx 5) INSTANCE (DATA PLANE): was1 (US) 6) AIOPS LOCATION: Integrated AIOPs - NA 7) POD COUNTRY OR PRACTICE: Network Practice 8) POD NAME: US-Country Shared-Network &amp; Edge 9) POD OWNER EMAIL: dcalvoro@kyndryl.com 10) BAC BAM GSMA DETAILS: BAC, BAM and GSMA.xlsx 11) PRIMARY BAC: BAC0000ED1 ACCOUNT CONTACT DETAILS 1) PRIMARY BAC OWNER (DEFAULT POOL OWNER/ ARMS APPROVER) EMAIL ID: Lance.Lobdell@kyndryl.com 2) ADDITIONAL ACCOUNT ADMIN (ARMS APPROVER 1) EMAIL ID: dstorti1@kyndryl.com 3) ADDITIONAL ACCOUNT ADMIN (ARMS APPROVER 2) EMAIL ID: Marisa.Carver@kyndryl.com 4) POOL SRE EMAIL ID: Bernal.Gutierrez.Quesada@kyndryl.com 5) APPROVAL EMAIL ATTACHMENT: New OU Creation on AIOPS for SNI_DPE Approval_BPM screenshot.pdf TOOL MAPPING 1) IPC TOOL: GLPI 2) EVENT MANAGEMENT TOOL: Shared Netcool 3) CACF ONBOARDING: GSMAs marked Yes above 4) DO YOU HAVE MAINFRAME (POOL LEVEL): No PLATFORM TOOLS - ADDITIONAL INFORMATION 1) NOTIFY: 2) ADDITIONAL DETAILS: The POOL GCS - N&amp;E â€“ GSNI, USA (GCSNNWCUS-GSNI) is already created, we just need to onboard it on AIOPS. BAC BAM GSMA BAC0000ED1 BAM0000695 S1F</t>
  </si>
  <si>
    <t>K-PLTools-AIOPs-Global-Delivery-Support</t>
  </si>
  <si>
    <t>PLATFORM TOOLS - CUSTOMER DETAILS 1) CAPABILITY/TOOL: Integrated AIOps (AIOPS) 2) ACCOUNT LOOKUP (IF KNOWN): *Not a customer account / not found 3) GSMA CODE: 4) NAME: 5) BAC / BAM ID: BAC00025EA 6) COUNTRY: 7) AIOPS LOCATION: Integrated AIOPs - NA PLATFORM TOOLS - AIOPS REQUEST DETAILS 1) AIOPS DATA PLANE: 2) IMPACTED COUNTRY: USA 3) ACCOUNT DPE NAME: clmoreno@kyndryl.com 4) ACCOUNT DPE EMAIL: clmoreno@kyndryl.com 5) DPE EMAIL APPROVAL ATTACHMENT: Offboarding of Inactive BAC ID.pdf 6) DESCRIPTION: Hi Team, Could you please help in getting the below BAC and its respective OU to be offboarded as it is inactive BAC in BPM and not assigned to any account. Its shows the DPE as aegirald@kyndryl.com and there is no other DPE for this, however when checked with him for the approval and he wrote he is not the DPE for this. Attached the mail. BAC ID ou_id BAC00025EA 1ace803ea372.1 Unable to attach the offboarding form. 7) ATTACHED OFFBOARDING FORM: Screenshot 2026-04-28 212904.png PLATFORM TOOLS - ADDITIONAL INFORMATION 1) NOTIFY:</t>
  </si>
  <si>
    <t>There is a popâ€‘up from Elastic that appears every time. Please check and take the necessary action.</t>
  </si>
  <si>
    <t>There is a popâ€‘up from Elastic that appears every time. Please check and take the necessary action. Please refer the attached file for your reference.</t>
  </si>
  <si>
    <t>PLATFORM TOOLS - CUSTOMER DETAILS 1) CAPABILITY/TOOL: Integrated AIOps (AIOPS) 2) ACCOUNT LOOKUP (IF KNOWN): Mi Banco - mib (BAC000377F-PE) es.was1 3) AIOPS LOCATION: Integrated AIOPs - NA PLATFORM TOOLS - AIOPS REQUEST DETAILS 1) AIOPS DATA PLANE: 2) IMPACTED COUNTRY: Strategic Markets 3) ACCOUNT DPE NAME: Julio Cesar Leon Guerrero 4) ACCOUNT DPE EMAIL: julioleon@kyndryl.com 5) DPE EMAIL APPROVAL ATTACHMENT: Bandeja de entrada_ Michael Huamancaja - Outlook.pdf 6) DESCRIPTION: terminated contract 7) ATTACHED OFFBOARDING FORM: offboarding_decomm_form 4.pdf PLATFORM TOOLS - ADDITIONAL INFORMATION 1) NOTIFY: Cajahuaman Maldonado Solange</t>
  </si>
  <si>
    <t>PLATFORM TOOLS - BASIC DETAILS 1) SHORT DESCRIPTION: Need Assistance to update AIOPs Extension "extensions-leg-inc-netcool-snow"- Please assign to Vivien.Lee@kyndryl.com 2) DESCRIPTION OF REQUEST: Need assistance to update extension extensions-leg-inc-netcool-snow to latest chainguard v12 image and get extension EA certified. assignment queue: K-PLTools-AIOPs-Americas-Delivery-Support Please assign this request to Vivien Lee - Vivien.Lee@kyndryl.com as she is aware about this. 3) CAPABILITY/TOOL: Integrated AIOps (AIOPS) 4) KYNDRYL BRIDGE CUSTOMER FOR AIOPS LOOKUP (IF KNOWN): Legal &amp; General - leg (BAC0000CBB-GB) es.ams1 5) ORG MARKET: UKI 6) ADDITIONAL DETAILS: 7) NOTIFY: PLATFORM TOOLS - INTEGRATED AIOPS (AIOPS) DETAILS 1) AIOPS LOCATION: Integrated AIOPs - EU 2) AIOPS INSTANCE: Europe 3) TYPE OF REQUEST: AIOPS - Extensions Deployment</t>
  </si>
  <si>
    <t>Row Labels</t>
  </si>
  <si>
    <t>Grand Total</t>
  </si>
  <si>
    <t>Column Labels</t>
  </si>
  <si>
    <t>PLATFORM TOOLS - AIOPS REQUEST DETAILS 1) CAPABILITY/TOOL: Integrated AIOps (AIOPS) 2) POOL NAME: ADAI MANAGED APPS - Delta Air Lines 3) POOL OU ID: 4) INSTANCE (DATA PLANE): was1 (US) 5) AIOPS LOCATION: Integrated AIOPs - NA 6) POOL OWNER NAME: Monica Spagnol Bertini 7) I HAVE ARCHIVED ALL ASSETS IN ALL BAC-BAMS UNDER THIS POOL: No 8) EVIDENCE OF ASSETS ARCHIVED: inventory_operating_system_2026-05-28-11_59_23_AM_BACA60A010-US.csv 9) APPROVAL EMAIL: Re: Approval to Offboard ADAI MANAGED APPS - Delta Air Lines from AIOPS.pdf 10) ADDITIONAL COMMENTS: Assets that still needs to be archived are related to Firewall and network devices. Account has migrated to AWS and the decommission flows on 3.x IBM DC are still ongoing . PLATFORM TOOLS - ADDITIONAL INFORMATION 1) NOTIFY:</t>
  </si>
  <si>
    <t>Count of Title</t>
  </si>
  <si>
    <t>Against the given list of CDP Stored procedures please remove extensions used in AIOPS.</t>
  </si>
  <si>
    <t>PLATFORM TOOLS - BASIC DETAILS 1) SHORT DESCRIPTION: Against the given list of CDP Stored procedures please remove extensions used in AIOPS. 2) DESCRIPTION OF REQUEST: Hi team, Against the given list of CDP Stored procedures please remove extensions used in AIOPS. We have disabled CDP IDs from our end. so you can look for Extensions failing running under the above credentials CDP_US2EU you can also take reference that anything running that has CS_CDP_US2xx can be removed. EXTENTION SUFFIX : bai-grf-cdp will be like this. These extensions are used for CDP in KRI dashboards. For any information please contact : poonam.bansal@kyndryl.com. 3) CAPABILITY/TOOL: Integration Services (ISG) 4) ACCOUNT LOOKUP (IF KNOWN): *Not a customer account / not found 5) GSMA CODE: 6) NAME: 7) BAC / BAM ID: 8) COUNTRY: 9) ORG MARKET: Italy 10) ADDITIONAL DETAILS: 11) NOTIFY: 12) ATTACHMENTS (EVIDENCE, SCREENSHOTS, LOGS,ETC): KRI EU CDP list (1).xlsx PLATFORM TOOLS - INTEGRATION SERVICES (ISG) DETAILS 1) LOCATION OF CAPABILITY/TOOL INSTANCE: IS/Ext - EU 2) TYPE OF REQUEST: General Request</t>
  </si>
  <si>
    <t>Unable to create Client Tool Mapping â€“ role/permission issue</t>
  </si>
  <si>
    <t>Michelin - Self Managment dashboard (execution of enrich policy)</t>
  </si>
  <si>
    <t>PLATFORM TOOLS - BASIC DETAILS 1) SHORT DESCRIPTION: Michelin - Self Managment dashboard (execution of enrich policy) 2) DESCRIPTION OF REQUEST: Hi team, please I would like to ask if possible to run following command on EU prod. its execution of customized enrich policy for Michelin account : POST /_enrich/policy/delivery.mic_inventory_policy/_execute Let me know in case of any questions. Thanks a lot for your help. 3) CAPABILITY/TOOL: Integrated AIOps (AIOPS) 4) KYNDRYL BRIDGE CUSTOMER FOR AIOPS LOOKUP (IF KNOWN): MICHELIN - mic (BAC0003419-FR) es.ams1 5) ORG MARKET: France 6) ADDITIONAL DETAILS: 7) NOTIFY: PLATFORM TOOLS - INTEGRATED AIOPS (AIOPS) DETAILS 1) AIOPS LOCATION: Integrated AIOPs - EU 2) AIOPS INSTANCE: Europe 3) TYPE OF REQUEST: AIOPS - General Request</t>
  </si>
  <si>
    <t>Vaasan - offboarding request</t>
  </si>
  <si>
    <t>PLATFORM TOOLS - BASIC DETAILS 1) SHORT DESCRIPTION: Vaasan - offboarding request 2) DESCRIPTION OF REQUEST: Contract terminated. Requested by DPE 3) CAPABILITY/TOOL: Integrated AIOps (AIOPS) 4) KYNDRYL BRIDGE CUSTOMER FOR AIOPS LOOKUP (IF KNOWN): Vaasan &amp; Vaasan - vnv (BAC0000DA8-FI) es.ams1 5) ORG MARKET: Strategic Markets 6) ADDITIONAL DETAILS: 7) NOTIFY: PLATFORM TOOLS - INTEGRATED AIOPS (AIOPS) DETAILS 1) AIOPS LOCATION: Integrated AIOPs - EU 2) AIOPS INSTANCE: Europe 3) TYPE OF REQUEST: AIOPS - General Request</t>
  </si>
  <si>
    <t>Adding BACs to the Global OU.</t>
  </si>
  <si>
    <t>PLATFORM TOOLS - BASIC DETAILS 1) SHORT DESCRIPTION: Adding BACs to the Global OU. 2) DESCRIPTION OF REQUEST: Hi Team, Please add the below BACs as well to the OU cad851fa26df.1 as they are global accounts and belongs to the same POD. Attached the approval. USA US-Single Account-AMERICAN EXPRESS-2 Nanjunda.Murthy@kyndryl.com JP_AMEX BAC000081F USA US-Single Account-AMERICAN EXPRESS-2 Nanjunda.Murthy@kyndryl.com AUAMEX BAC0000F3A USA US-Single Account-AMERICAN EXPRESS-2 Nanjunda.Murthy@kyndryl.com MYAMEX BAC0002155 USA US-Single Account-AMERICAN EXPRESS-2 Nanjunda.Murthy@kyndryl.com NDITOS029 BAC00012DA USA US-Single Account-AMERICAN EXPRESS-2 Nanjunda.Murthy@kyndryl.com TW_AMEX BAC00024FF 3) CAPABILITY/TOOL: Integrated AIOps (AIOPS) 4) KYNDRYL BRIDGE CUSTOMER FOR AIOPS LOOKUP (IF KNOWN): American Express - amx (BAC000101B-US) es.was1 5) ORG MARKET: USA 6) ADDITIONAL DETAILS: 7) NOTIFY: 8) ATTACHMENTS (EVIDENCE, SCREENSHOTS, LOGS,ETC): Re_ Action Required_ Update on BACs to OU Tagging in AIOps.pdf PLATFORM TOOLS - INTEGRATED AIOPS (AIOPS) DETAILS 1) AIOPS LOCATION: Integrated AIOPs - NA 2) AIOPS INSTANCE: Americas 3) TYPE OF REQUEST: AIOPS - General Request</t>
  </si>
  <si>
    <t>Errors using Best Practice dashboard (oldcase-IN10892790)</t>
  </si>
  <si>
    <t>When I open the Best Practice dashboard the main page loads ok. When I click on the SME View tab or the Chief ARchitect &amp; SRE View tab, I get an error. This error happens with all OUs. I am using Edge browser. I did clear cache and cookies and reproduced the issue. Detailed error messages Error: Unable to completely restore the URL, be sure to use the share functionality. at r (https://00be3134ad14.1.account.delivery.kyndryl.net/insights/k/was1/c14722b56e3d/bundles/plugin/kibanaUtils/1.0.0/kibanaUtils.plugin.js:1:14788) at v (https://00be3134ad14.1.account.delivery.kyndryl.net/insights/k/was1/c14722b56e3d/bundles/plugin/kibanaUtils/1.0.0/kibanaUtils.plugin.js:1:15006) at N (https://00be3134ad14.1.account.delivery.kyndryl.net/insights/k/was1/c14722b56e3d/bundles/plugin/kibanaUtils/1.0.0/kibanaUtils.plugin.js:1:15756) at https://00be3134ad14.1.account.delivery.kyndryl.net/insights/k/was1/c14722b56e3d/bundles/plugin/kibanaUtils/1.0.0/kibanaUtils.plugin.js:1:16511 at Array.forEach () at k (https://00be3134ad14.1.account.delivery.kyndryl.net/insights/k/was1/c14722b56e3d/bundles/plugin/kibanaUtils/1.0.0/kibanaUtils.plugin.js:1:16487) at D (https://00be3134ad14.1.account.delivery.kyndryl.net/insights/k/was1/c14722b56e3d/bundles/plugin/kibanaUtils/1.0.0/kibanaUtils.plugin.js:1:16611) at Object.get (https://00be3134ad14.1.account.delivery.kyndryl.net/insights/k/was1/c14722b56e3d/bundles/plugin/kibanaUtils/1.0.0/kibanaUtils.plugin.js:1:19938) at https://00be3134ad14.1.account.delivery.kyndryl.net/insights/k/was1/c14722b56e3d/bundles/plugin/dashboard/1.0.0/dashboard.chunk.110.js:1:482287 at ar (https://00be3134ad14.1.account.delivery.kyndryl.net/insights/k/was1/c14722b56e3d/bundles/plugin/dashboard/1.0.0/dashboard.chunk.110.js:1:485518</t>
  </si>
  <si>
    <t>PL_Tools Incident - Cloud Automation Community Framework (CACF)</t>
  </si>
  <si>
    <t>PL_TOOLS &gt; CACF</t>
  </si>
  <si>
    <t>Platform Onboarding error</t>
  </si>
  <si>
    <t>PLATFORM TOOLS - BASIC DETAILS 1) SHORT DESCRIPTION: Platform Onboarding error 2) DESCRIPTION OF REQUEST: In the PLATFORM ONBOARDING, the account GCS - S&amp;R - ZERO TRUST IDENTITY, GLOBAL (GCSSSEPWW-ZT) (see the attachments) is being reported to Brazil, when it should be set up as a GLOBAL ACCOUNT, and it need to be corrected because it is causing many PBI and Metrics deviations. 3) CAPABILITY/TOOL: Integrated AIOps (AIOPS) 4) KYNDRYL BRIDGE CUSTOMER FOR AIOPS LOOKUP (IF KNOWN): IMI IAMaas (Global Iam as a Service) - rox (BAM0004EB6-US) es.was1 5) ORG MARKET: US Shared 6) ADDITIONAL DETAILS: 7) NOTIFY: 8) ATTACHMENTS (EVIDENCE, SCREENSHOTS, LOGS,ETC): Image (2).png, image (3).png PLATFORM TOOLS - INTEGRATED AIOPS (AIOPS) DETAILS 1) AIOPS LOCATION: Integrated AIOPs - NA 2) AIOPS INSTANCE: Americas 3) TYPE OF REQUEST: AIOPS - General Request</t>
  </si>
  <si>
    <t>Incidents , Problems and Changes information is not showing in the dash board .</t>
  </si>
  <si>
    <t>PLATFORM TOOLS - BASIC DETAILS 1) CAPABILITY/TOOL: Integrated AIOps (AIOPS) 2) SHORT DESCRIPTION: Incidents , Problems and Changes information is not showing in the dash board . 3) DESCRIPTION OF ISSUE: Incident, Problem and change information is not displaying on the main dashboard, although data is flowing in the background. Request to investigate. Find the attached screen shots for reference. 4) KYNDRYL BRIDGE CUSTOMER FOR AIOPS LOOKUP (IF KNOWN): Humana - hum (BAC000342A-US) es.was1 5) ORG MARKET: USA 6) WATCH LIST: 7) REPORTED PRIORITY: P4 - Low (Sev4) 8) ADDITIONAL DETAILS: Incident, Problem and change information is not displaying on the main dashboard, although data is flowing in the background. . Find the attached screen shots for reference. 9) ATTACHMENTS (EVIDENCE, SCREENSHOTS, LOGS,ETC): Change Insights 1.png, Change Insights 2.png, Predicted critical changes 1.png, Predicted critical changes 2.png, Problem Insights 1.png PLATFORM TOOLS - INTEGRATED AIOPS (AIOPS) DETAILS 1) AIOPS LOCATION: Integrated AIOPs - EU 2) AIOPS INSTANCE: Europe 3) AIOPS DATA PLANE: 4) WHERE ON THE WEB PAGE IS THE ISSUE LOCATED?: Home &gt; Header &gt; Actionable Insights 5) WHAT SUBCATEGORY OF THE LOCATION IS THE ISSUE RELATED TO?: Dashboard 6) URL OF THE WEB PAGE DISPLAYING THE ISSUE: 7) WHAT IS THE ISSUE?: Incorrect data</t>
  </si>
  <si>
    <t>Update OU to ph0 and remove the poh OU</t>
  </si>
  <si>
    <t>PLATFORM TOOLS - BASIC DETAILS 1) SHORT DESCRIPTION: Update OU to ph0 and remove the poh OU 2) DESCRIPTION OF REQUEST: Please update post holding OU to ph0. poh is the old GSMA code, it may be removed. 3) CAPABILITY/TOOL: Integrated AIOps (AIOPS) 4) KYNDRYL BRIDGE CUSTOMER FOR AIOPS LOOKUP (IF KNOWN): ADAI Managed Apps - Post Holdings Inc - poh (BAC0000EA7-US) es.was1 5) ORG MARKET: USA 6) ADDITIONAL DETAILS: 7) NOTIFY: 8) ATTACHMENTS (EVIDENCE, SCREENSHOTS, LOGS,ETC): image (60).png PLATFORM TOOLS - INTEGRATED AIOPS (AIOPS) DETAILS 1) AIOPS LOCATION: Integrated AIOPs - NA 2) AIOPS INSTANCE: Americas 3) TYPE OF REQUEST: AIOPS - OU Update</t>
  </si>
  <si>
    <t>00_24 Hours</t>
  </si>
  <si>
    <t>16_30 Days</t>
  </si>
  <si>
    <t>31_60 Days</t>
  </si>
  <si>
    <t>&gt;60 Days</t>
  </si>
  <si>
    <t>01_03 Days</t>
  </si>
  <si>
    <t>06_10 Days</t>
  </si>
  <si>
    <t>04_05 Days</t>
  </si>
  <si>
    <t>11_15 Days</t>
  </si>
  <si>
    <t>Colpensiones: Offboarding | AIOPs</t>
  </si>
  <si>
    <t>PLATFORM TOOLS - BASIC DETAILS 1) SHORT DESCRIPTION: Colpensiones: Offboarding | AIOPs 2) DESCRIPTION OF REQUEST: Contracts ends June 30 2026 3) CAPABILITY/TOOL: Integrated AIOps (AIOPS) 4) KYNDRYL BRIDGE CUSTOMER FOR AIOPS LOOKUP (IF KNOWN): Colpensiones - cpi (BAC0002D53-CO) es.was1 5) ORG MARKET: Strategic Markets 6) ADDITIONAL DETAILS: 7) NOTIFY: Lara Rojas Yolanda 8) ATTACHMENTS (EVIDENCE, SCREENSHOTS, LOGS,ETC): Offboarding Colpensiones.pdf PLATFORM TOOLS - INTEGRATED AIOPS (AIOPS) DETAILS 1) AIOPS LOCATION: Integrated AIOPs - NA 2) AIOPS INSTANCE: Americas 3) TYPE OF REQUEST: AIOPS - General Request</t>
  </si>
  <si>
    <t>PLATFORM TOOLS - CUSTOMER DETAILS 1) CAPABILITY/TOOL: Integrated AIOps (AIOPS) 2) ACCOUNT LOOKUP (IF KNOWN): Daimler Trucks NA (DTNA) - dtn (BAC0001068-US) es.was1 3) AIOPS LOCATION: Integrated AIOPs - NA PLATFORM TOOLS - AIOPS REQUEST DETAILS 1) AIOPS DATA PLANE: 2) IMPACTED COUNTRY: USA 3) ACCOUNT DPE NAME: Juliana Kelly Oliveira Prado 4) ACCOUNT DPE EMAIL: jukelly@kyndryl.com 5) DPE EMAIL APPROVAL ATTACHMENT: DPE Approval_Daimler Trucks.pdf 6) DESCRIPTION: Account Termination effective on June 13th, 2026. The pre-requisite steps have been completed by the account and email copy of the acknowledgement has been attached herein. 7) ATTACHED OFFBOARDING FORM: DTNA.AIOps_offboarding_decomm_form V216.docx PLATFORM TOOLS - ADDITIONAL INFORMATION 1) NOTIFY: 2) ATTACHMENTS (EVIDENCE, SCREENSHOTS, LOGS,ETC): AIOps_Prerequisite Steps Completion Status_DTNA.pdf</t>
  </si>
  <si>
    <t>The Aiops usage report is not matching my aiops login and access</t>
  </si>
  <si>
    <t>The Aiops usage report is not matching my aiops login and access As per report the last access is showing 3rd Jun but i accessed aiops dashboard on this week aslo.Please investigate .</t>
  </si>
  <si>
    <t>PLATFORM TOOLS - BASIC DETAILS 1) SHORT DESCRIPTION: Unable to create Client Tool Mapping â€“ role/permission issue 2) DESCRIPTION OF REQUEST: Hello team, I am trying to create a new Client Tool Mapping in a newly provisioned account. However, despite having access to all the required roles, the system is preventing the operation. When attempting to create the mapping, I receive the following error message: "Create client tool mapping failed!" "User does not have role to perform the operation. Please contact administrator." 3) CAPABILITY/TOOL: Integrated AIOps (AIOPS) 4) KYNDRYL BRIDGE CUSTOMER FOR AIOPS LOOKUP (IF KNOWN): Mi Banco - mib (BAC000377F-PE) es.was1 5) ORG MARKET: Strategic Markets 6) ADDITIONAL DETAILS: The account to request is: Del Segmt Name Del Segmt ID (BAC ID) GSMA Code GSMA Description AssetMgt ID Grupo Credito S.A. DSG00000B8 76f Grupo Credito S.A. BAM58600AA 7) NOTIFY: Huamancaja Michael, Boulangger Joan Manuel, Cajahuaman Maldonado Solange, TORRES LOPEZ JESUS 8) ATTACHMENTS (EVIDENCE, SCREENSHOTS, LOGS,ETC): Approval_grupo_credito.pdf PLATFORM TOOLS - INTEGRATED AIOPS (AIOPS) DETAILS 1) AIOPS LOCATION: Integrated AIOPs - NA 2) AIOPS INSTANCE: Americas 3) TYPE OF REQUEST: AIOPS - Client Tool Mapping</t>
  </si>
  <si>
    <t>PLATFORM TOOLS - BASIC DETAILS 1) SHORT DESCRIPTION: Unable to create Client Tool Mapping â€“ role/permission issue 2) DESCRIPTION OF REQUEST: I am trying to create a new Client Tool Mapping in a newly provisioned account. However, despite having access to all the required roles, the system is preventing the operation. When attempting to create the mapping, I receive the following error message: "Create client tool mapping failed!" "User does not have role to perform the operation. Please contact administrator." 3) CAPABILITY/TOOL: Integrated AIOps (AIOPS) 4) KYNDRYL BRIDGE CUSTOMER FOR AIOPS LOOKUP (IF KNOWN): Mi Banco - mib (BAC000377F-PE) es.was1 5) ORG MARKET: Strategic Markets 6) ADDITIONAL DETAILS: The account to request is: Del Segmt Name Del Segmt ID (BAC ID) GSMA Code GSMA Description AssetMgt ID Pacifico Seguros Peru DSG00000AE f1d Pacifico Seguros BAM58600A2 PE_PRIMA AFP DSG00000AB d40 PRIMA AFP BAM586009F Mibanco Peru BAC880B010 mip Mibanco Peru BAME1A7000 7) NOTIFY: Huamancaja Michael, Boulangger Joan Manuel, TORRES LOPEZ JESUS, Cajahuaman Maldonado Solange 8) ATTACHMENTS (EVIDENCE, SCREENSHOTS, LOGS,ETC): Approval_JulioLeon.pdf PLATFORM TOOLS - INTEGRATED AIOPS (AIOPS) DETAILS 1) AIOPS LOCATION: Integrated AIOPs - NA 2) AIOPS INSTANCE: Americas 3) TYPE OF REQUEST: AIOPS - Client Tool Mapping</t>
  </si>
  <si>
    <t>Unable to view Network HW EOL/EOS on Bridge</t>
  </si>
  <si>
    <t>PLATFORM TOOLS - BASIC DETAILS 1) CAPABILITY/TOOL: Integrated AIOps (AIOPS) 2) SHORT DESCRIPTION: Unable to view Network HW EOL/EOS on Bridge 3) DESCRIPTION OF ISSUE: Devices from network category are not listed on Hardware section so we are not able to review network hardware EOL/EOS information. 4) KYNDRYL BRIDGE CUSTOMER FOR AIOPS LOOKUP (IF KNOWN): Gerdau Ameristeel US Inc - gna (BAC0000B69-US) es.was1 5) ORG MARKET: Strategic Markets 6) WATCH LIST: das Chagas Vecchia Luciano Augusto, Lourenco Glauce Kelly, Flavio Maceron Antonio 7) REPORTED PRIORITY: P2 - High (Sev2) 8) ADDITIONAL DETAILS: Multiple accounts affected. 9) ATTACHMENTS (EVIDENCE, SCREENSHOTS, LOGS,ETC): Screenshot 2026-07-06 170240.png PLATFORM TOOLS - INTEGRATED AIOPS (AIOPS) DETAILS 1) AIOPS LOCATION: Integrated AIOPs - NA 2) AIOPS INSTANCE: Americas 3) AIOPS DATA PLANE: 4) WHERE ON THE WEB PAGE IS THE ISSUE LOCATED?: Home &gt; Header &gt; Insights &gt; Dashboards &gt; All Dashboards 5) WHAT SUBCATEGORY OF THE LOCATION IS THE ISSUE RELATED TO?: EOL EOS Consolidated 6) URL OF THE WEB PAGE DISPLAYING THE ISSUE: 7) WHAT IS THE ISSUE?: Missing data</t>
  </si>
  <si>
    <t>DPE update</t>
  </si>
  <si>
    <t>PLATFORM TOOLS - BASIC DETAILS 1) SHORT DESCRIPTION: DPE update 2) DESCRIPTION OF REQUEST: Hi Team I would like to ask the DPE NAME TO BE updated As it preventing the current DPE to update his inventory, as approvals in ARMS are still going for the previous DPE that is in Long medical leave. Please replace Sofia Blanc (old DPE) by ricardo.fernandes@kyndryl.com. Thank you 3) CAPABILITY/TOOL: Integrated AIOps (AIOPS) 4) KYNDRYL BRIDGE CUSTOMER FOR AIOPS LOOKUP (IF KNOWN): Banco Portugues de Gestao - bgp (BAC00035B5-PT) es.ams1 5) ORG MARKET: Iberia 6) ADDITIONAL DETAILS: 7) NOTIFY: 8) ATTACHMENTS (EVIDENCE, SCREENSHOTS, LOGS,ETC): Screenshot 2026-07-06 140102.png PLATFORM TOOLS - INTEGRATED AIOPS (AIOPS) DETAILS 1) AIOPS LOCATION: Integrated AIOPs - EU 2) AIOPS INSTANCE: Europe 3) TYPE OF REQUEST: AIOPS - ARMS</t>
  </si>
  <si>
    <t>Ticket description is getting truncated to 256 chars</t>
  </si>
  <si>
    <t>Data Type : Incident Ticket Ticket description is getting truncated to 256 chars. compare the length of description with different tool source and got to know that is is 256 MAX(LENGTH(description)). - 256 Extension team need to loom on it. attached the details of MAX(LENGTH(description)). with respect to tool_source Please assign the correct Extension team.</t>
  </si>
  <si>
    <t>Kibana dashboard prod filter changes are not taking effect</t>
  </si>
  <si>
    <t>PLATFORM TOOLS - BASIC DETAILS 1) CAPABILITY/TOOL: Integrated AIOps (AIOPS) 2) SHORT DESCRIPTION: Kibana dashboard prod filter changes are not taking effect 3) DESCRIPTION OF ISSUE: Kibana Dashboards =&gt; Network Management =&gt; Network Performance Monitoring =&gt; Monitoring Dashboard is filtered by default to 7 days, this was changed to 2 hours in dev/stage environment and changed ndjson file was imported in prod instance. As part of this prod deployment, all other changes to dashboard has taken effect but not the filter change to 2 hours Hence creating this ticket to review prod setup or manually update and save the filter to 2 hours 4) KYNDRYL BRIDGE CUSTOMER FOR AIOPS LOOKUP (IF KNOWN): Service Delivery Center Uruguay - sd0 (BAC0001186-UY) es.was1 5) ORG MARKET: ANZ 6) WATCH LIST: 7) REPORTED PRIORITY: P2 - High (Sev2) 8) ADDITIONAL DETAILS: PLATFORM TOOLS - INTEGRATED AIOPS (AIOPS) DETAILS 1) AIOPS LOCATION: Integrated AIOPs - AP 2) AIOPS INSTANCE: Asia Pacific 3) AIOPS DATA PLANE: syd1 4) WHERE ON THE WEB PAGE IS THE ISSUE LOCATED?: Home &gt; Header &gt; Insights &gt; Dashboards &gt; All Dashboards 5) WHAT SUBCATEGORY OF THE LOCATION IS THE ISSUE RELATED TO?: Network Performance Monitoring (SYD) 6) URL OF THE WEB PAGE DISPLAYING THE ISSUE: https://www.kyndryl.com/bridge/aiops/insights/dashboard/a9faae9c-386a-4784-ab09-9a5925cb5861/ 7) WHAT IS THE ISSUE?: Configuration</t>
  </si>
  <si>
    <t>Configuration of a Client tool Mapping for GOA (MAHS) Account</t>
  </si>
  <si>
    <t>PLATFORM TOOLS - BASIC DETAILS 1) SHORT DESCRIPTION: Configuration of a Client tool Mapping for GOA (MAHS) Account 2) DESCRIPTION OF REQUEST: Team requires assistance in configuring a client tool mapping in AIOPS for Service Now change and incident data. 3) CAPABILITY/TOOL: Integrated AIOps (AIOPS) 4) KYNDRYL BRIDGE CUSTOMER FOR AIOPS LOOKUP (IF KNOWN): Government of Alberta - MAHS - goa (BAC0000A03-CA) es.tor1 5) ORG MARKET: Strategic Markets 6) ADDITIONAL DETAILS: 7) NOTIFY: PLATFORM TOOLS - INTEGRATED AIOPS (AIOPS) DETAILS 1) AIOPS LOCATION: Integrated AIOPs - NA 2) AIOPS INSTANCE: Americas 3) TYPE OF REQUEST: AIOPS - Client Tool Mapping</t>
  </si>
  <si>
    <t>PL_TOOLS - Request - AIOPS - Request Offboarding from Integrated AIOPS</t>
  </si>
  <si>
    <t>PLATFORM TOOLS - CUSTOMER DETAILS 1) CAPABILITY/TOOL: Integrated AIOps (AIOPS) 2) ACCOUNT LOOKUP (IF KNOWN): Baker Hughes - bhi (BAC0000D26-US) es.was1 3) AIOPS LOCATION: Integrated AIOPs - NA PLATFORM TOOLS - AIOPS REQUEST DETAILS 1) AIOPS DATA PLANE: 2) IMPACTED COUNTRY: USA 3) ACCOUNT DPE NAME: Jim Barina 4) ACCOUNT DPE EMAIL: Jim.Barina@kyndryl.com 5) DPE EMAIL APPROVAL ATTACHMENT: FW: Baker Hughes .pdf 6) DESCRIPTION: The account has been terminated for over a year. 7) ATTACHED OFFBOARDING FORM: offboarding_decomm_form 4.docx PLATFORM TOOLS - ADDITIONAL INFORMATION 1) NOTIFY:</t>
  </si>
  <si>
    <t>onboarding of FedEx account to AIOps</t>
  </si>
  <si>
    <t>PLATFORM TOOLS - BASIC DETAILS 1) SHORT DESCRIPTION: onboarding of FedEx account to AIOps 2) DESCRIPTION OF REQUEST: Hello, We are currently in the process of setting up AIOps within the FedEx systems. Can you please assist with on-boarding the FedEx account and guild me what are the steps process. Account Details : customer_name = "FedEx Corporate Services Inc." contract_id = "BAC0002302" country_code = "US" gsma_code = "fdx" Thanks Suresh G 3) CAPABILITY/TOOL: Integrated AIOps (AIOPS) 4) KYNDRYL BRIDGE CUSTOMER FOR AIOPS LOOKUP (IF KNOWN): Federal Express - fdx (BAC0002302-US) es.was1 5) ORG MARKET: US Shared 6) ADDITIONAL DETAILS: 7) NOTIFY: Manohara Murali, CHANDRASEKARAN DURAIMURUGAN PLATFORM TOOLS - INTEGRATED AIOPS (AIOPS) DETAILS 1) AIOPS LOCATION: Integrated AIOPs - NA 2) AIOPS INSTANCE: US Restricted 3) TYPE OF REQUEST: AIOPS - General Request</t>
  </si>
  <si>
    <t>Customer access to Kyndryl Bridge AiOps</t>
  </si>
  <si>
    <t>PLATFORM TOOLS - BASIC DETAILS 1) CAPABILITY/TOOL: Kyndryl Bridge 2) SHORT DESCRIPTION: Customer access to Kyndryl Bridge AiOps 3) DESCRIPTION OF ISSUE: i am simulating customer access to Kyndryl bridge AiOps Yesterday i send invitation from my admin personal account to user ydttojnynwihqxjhoq@onldm.net and after create oneid user the subscription seems active but i canÂ´t see any dashboard these are the ones we have exposed: * Event triage analysis * Sunrise insight incident tickets * Mainframe Batch Metrics Insights (BMI) * Mainframe Level of Automation (LoA) * Home F1 But i canÂ´t see anything. Attached evidences of new user roles, exposed dashboards,... 4) CUSTOMER IMPACTED?: Yes 5) CUSTOMER BLUEID LOOKUP (IF KNOWN): kxb - Kutxabank - Spain - BAC00021F9 - Mkt: Iberia 6) ORG MARKET: Iberia 7) WATCH LIST: Gokulan Haridas 8) REPORTED PRIORITY: P2 - High (Sev2) 9) ADDITIONAL DETAILS: The customer has requested access, and we do not know if they will be able to view the exposed dashboards. 10) ATTACHMENTS (EVIDENCE, SCREENSHOTS, LOGS,ETC): image (7).png, image (8).png, image (9).png, image (10).png PLATFORM TOOLS - KYNDRYL BRIDGE DETAILS 1) LOCATION OF CAPABILITY/TOOL INSTANCE: Kyndryl Bridge Global 2) ISSUE CATEGORY: General</t>
  </si>
  <si>
    <t>FORM DATA PLATFORM TOOLS - AIOPS REQUEST DETAILS 1) CAPABILITY/TOOL : Integrated AIOps (AIOPS) 2) ORG UNIT : Commercial Shared 3) POOL NAME : GCS - S&amp;R - Incident Response and Forensics, Offensive Security (GCSSSEPWW-IR&amp;F) 4) ATTACH THE CSI TEMPLATE RECEIVED FROM THE MAILBOX : Attached document 5) INSTANCE (DATA PLANE) : was1 (US) 6) AIOPS LOCATION : Integrated AIOPs - NA 7) POD COUNTRY OR PRACTICE : Security &amp; Resiliency Practice 8) POD NAME : Security &amp; Resiliency Practice POD (Cybersecurity Incident Response &amp; Forensics) 9) POD OWNER EMAIL : john.whitted@kyndryl.com 10) BAC BAM GSMA DETAILS : Attached document 11) PRIMARY BAC : DSG0000017 ACCOUNT CONTACT DETAILS 12) PRIMARY BAC OWNER (DEFAULT POOL OWNER/ ARMS APPROVER) EMAIL ID : john.whitted@kyndryl.com 13) ADDITIONAL ACCOUNT ADMIN (ARMS APPROVER 1) EMAIL ID : 14) ADDITIONAL ACCOUNT ADMIN (ARMS APPROVER 2) EMAIL ID : 15) POOL SRE EMAIL ID : Jeffrey.Walko@kyndryl.com 16) APPROVAL EMAIL ATTACHMENT : Attached document TOOL MAPPING 17) IPC TOOL : GLPI 18) EVENT MANAGEMENT TOOL : Other 19) CACF ONBOARDING : GSMAs marked Yes above 20) DO YOU HAVE MAINFRAME (POOL LEVEL) : No PLATFORM TOOLS - ADDITIONAL INFORMATION 21) NOTIFY : Jeffrey.Walko@kyndryl.com 22) ADDITIONAL DETAILS : 23) ATTACHMENTS (EVIDENCE, SCREENSHOTS, LOGS,ETC) : No attached document</t>
  </si>
  <si>
    <t>Zerto Resilency Dashboard is not populating latest data</t>
  </si>
  <si>
    <t>PLATFORM TOOLS - BASIC DETAILS 1) CAPABILITY/TOOL: Integrated AIOps (AIOPS) 2) SHORT DESCRIPTION: Zerto Resilency Dashboard is not populating latest data 3) DESCRIPTION OF ISSUE: Zerto Resilency Dashboard is not populating latest data We have 2000+ VMs onboarded and 500+ VPGs created in the Zerto tool. All these details are not available in Zerto Dashboard. Some of the fields showing as blank. Screenshot attached for more information. 4) KYNDRYL BRIDGE CUSTOMER FOR AIOPS LOOKUP (IF KNOWN): Kaiser Permanente - kph, kpt, kp2 (BAC0000A78-US) es.was1 5) ORG MARKET: US Shared 6) WATCH LIST: 7) REPORTED PRIORITY: P4 - Low (Sev4) 8) ADDITIONAL DETAILS: 9) ATTACHMENTS (EVIDENCE, SCREENSHOTS, LOGS,ETC): Zerto Dashboard.png PLATFORM TOOLS - INTEGRATED AIOPS (AIOPS) DETAILS 1) AIOPS LOCATION: Integrated AIOPs - NA 2) AIOPS INSTANCE: Americas 3) AIOPS DATA PLANE: 4) WHERE ON THE WEB PAGE IS THE ISSUE LOCATED?: Home &gt; Header &gt; Insights &gt; Dashboards 5) WHAT SUBCATEGORY OF THE LOCATION IS THE ISSUE RELATED TO?: Data Processing 6) URL OF THE WEB PAGE DISPLAYING THE ISSUE: 7) WHAT IS THE ISSUE?: Incorrect data</t>
  </si>
  <si>
    <t>Inconsistency in Account Name Display in Patch Report</t>
  </si>
  <si>
    <t>PLATFORM TOOLS - BASIC DETAILS 1) CAPABILITY/TOOL: Kyndryl Bridge 2) SHORT DESCRIPTION: Inconsistency in Account Name Display in Patch Report 3) DESCRIPTION OF ISSUE: When downloading the patch report from KB , it is observed that the internal account name is not displayed correctly and appears preceded by a hyphen ("-"), as shown below: -(GCS - Cloud - Shared Infrastructure - Distributed &amp; N/W) This behavior prevents the proper visualization and identification of the account within the report. Please investigate the root cause of this issue and implement the necessary corrections to ensure the account name is displayed properly. 4) CUSTOMER IMPACTED?: No 5) CUSTOMER BLUEID LOOKUP (IF KNOWN): bog - SDC - CO- GTS Services Delivery Infrastructure &amp; Cost Pools - Colombia - BAC000269E - Mkt: Strategic Market 6) ORG MARKET: Strategic Markets 7) WATCH LIST: Colorado Tatiana, Carballo Carponi Maria Ines 8) REPORTED PRIORITY: P1 - Critical (Sev1) 9) ADDITIONAL DETAILS: When downloading the patch report from KB , it is observed that the internal account name is not displayed correctly and appears preceded by a hyphen ("-"), as shown below: -(GCS - Cloud - Shared Infrastructure - Distributed &amp; N/W) This behavior prevents the proper visualization and identification of the account within the report. Please investigate the root cause of this issue and implement the necessary corrections to ensure the account name is displayed properly. 10) ATTACHMENTS (EVIDENCE, SCREENSHOTS, LOGS,ETC): Detalle Abiertos por cuenta Vulnerability Details Summary -7Julio.xlsx PLATFORM TOOLS - KYNDRYL BRIDGE DETAILS 1) LOCATION OF CAPABILITY/TOOL INSTANCE: Kyndryl Bridge Global 2) ISSUE CATEGORY: General</t>
  </si>
  <si>
    <t>PLATFORM TOOLS - CUSTOMER DETAILS 1) CAPABILITY/TOOL: Integrated AIOps (AIOPS) 2) ACCOUNT LOOKUP (IF KNOWN): AUTOMOTORES Y ANEXOS S.A. - AYASA - ay1 (BAC0002DF0-EC) es.was1 3) AIOPS LOCATION: Integrated AIOPs - NA PLATFORM TOOLS - AIOPS REQUEST DETAILS 1) AIOPS DATA PLANE: AY1 Account ended contract 2) IMPACTED COUNTRY: Strategic Markets 3) ACCOUNT DPE NAME: Ena Del Carmen Espinoza Torres 4) ACCOUNT DPE EMAIL: Ena.Espinoza@kyndryl.com 5) DPE EMAIL APPROVAL ATTACHMENT: AY1 - Ayasa DPE approval offborading.pdf, AY1 - Inventory CERO.jpg, AY1 - Without Extention.jpg 6) DESCRIPTION: The account ended contract. Inventory is empty and Extension isn't setup to account. 7) ATTACHED OFFBOARDING FORM: AY1 - offboarding_decomm_form 4.docx PLATFORM TOOLS - ADDITIONAL INFORMATION 1) NOTIFY: Sierra Marino Edgar Andrei</t>
  </si>
  <si>
    <t>AIOps pages in DEV env for ACME don't load (they're loading in loop forever)</t>
  </si>
  <si>
    <t>PLATFORM TOOLS - BASIC DETAILS 1) CAPABILITY/TOOL: Integrated AIOps (AIOPS) 2) SHORT DESCRIPTION: AIOps pages in DEV env for ACME don't load (they're loading in loop forever) 3) DESCRIPTION OF ISSUE: When I'm trying to access to one of the pages under the AIOps url in DEV environment (for ACME account) https://www-poc.kyndryl.com/bridge/aiops it doesn't finish to load completely. It starts to load , and it goes in loop forever. I seems that it tries to load and re-load multiple times in loop forever. (I attached a screenshot) The urls that I tried to access are: the IS page: https://www-poc.kyndryl.com/bridge/aiops/process/inventory the home page: https://www-poc.kyndryl.com/bridge/aiops/home the extension page: https://www-poc.kyndryl.com/bridge/aiops/extensions/overview The page I most interested now for my work is that of IS (Inventory Service). 4) KYNDRYL BRIDGE CUSTOMER FOR AIOPS LOOKUP (IF KNOWN): International Traders ACME - ace (BAC000ACME) es.ams1 5) WATCH LIST: 6) REPORTED PRIORITY: P2 - High (Sev2) 7) ADDITIONAL DETAILS: This is a critical issue because is blocking my development and testing work. I'm developing an extension, a customization of a global one, that sends data from ServiceNow CMDB to IS for an account of big Client in Italy. They are waiting me. I need to see the data on IS and see the Extension page so it's imperative to solve this issue soon. URLs affected: the IS page: https://www-poc.kyndryl.com/bridge/aiops/process/inventory the home page: https://www-poc.kyndryl.com/bridge/aiops/home the extension page: https://www-poc.kyndryl.com/bridge/aiops/extensions/overview 8) ATTACHMENTS (EVIDENCE, SCREENSHOTS, LOGS,ETC): Page_not_loading.png PLATFORM TOOLS - INTEGRATED AIOPS (AIOPS) DETAILS 1) AIOPS LOCATION: Integrated AIOPs - ACME 2) AIOPS DATA PLANE: 3) WHERE ON THE WEB PAGE IS THE ISSUE LOCATED?: Home &gt; Header &gt; Home 4) WHAT SUBCATEGORY OF THE LOCATION IS THE ISSUE RELATED TO?: Please enter text or url of the in Additional details 5) URL OF THE WEB PAGE DISPLAYING THE ISSUE: https://www-poc.kyndryl.com/bridge/aiops/process/inventory 6) WHAT IS THE ISSUE?: Other</t>
  </si>
  <si>
    <t>PL_TOOLS - Request - AIOPS - Change/Update existing Dashboard Role Approvers</t>
  </si>
  <si>
    <t>PLATFORM TOOLS - ACCOUNT DETAILS 1) CAPABILITY/TOOL: Integrated AIOps (AIOPS) 2) ACCOUNT LOOKUP (IF KNOWN): mo3 - Mota Engil (BAC100A010-PT) 3) AIOPS LOCATION: Integrated AIOPs - EU PLATFORM TOOLS - AIOPS REQUEST DETAILS 1) DASHBOARD URL: https://www.kyndryl.com/bridge/console/ 2) DASHBOARD NAME: Mota Engil 3) AIOPS DATA PLANE: 4) IMPACTED COUNTRY: Iberia 5) EMAIL ADDRESS OF THE NEW APPROVER(S): eduardo.azevedo@kyndryl.com 6) DASHBOARD NAME IN ARMS: Mota Engil 7) WHAT CHANGE IS NEEDED FOR THE APPROVER (ADD, REMOVE, BOTH ETC.)?: Nuno.figueiredo@kyndryl.com left Kyndryl and I'm the new DPE for Mota Engil account. I need to approve all ARMS request. Can you please make this update? 8) ROLE NAME IN ARMS: DPE 9) BUSINESS JUSTIFICATION: Nuno.figueiredo@kyndryl.com left Kyndryl and I'm the new DPE for Mota Engil account. I need to approve all ARMS request. Can you please make this update? 10) TARGET COMPLETION DATE: 2026-07-10 11) Q/A POINT OF CONTACT: AZEVEDO EDUARDO 12) ACCEPTANCE CRITERIA DETAILS: PLATFORM TOOLS - ADDITIONAL INFORMATION 1) NOTIFY:</t>
  </si>
  <si>
    <t>PLATFORM TOOLS - CUSTOMER DETAILS 1) CAPABILITY/TOOL: Integrated AIOps (AIOPS) 2) ACCOUNT LOOKUP (IF KNOWN): DEDAGROUP STEALTH SPA - wtd (BAC0001386-IT) es.ams1 3) AIOPS LOCATION: Integrated AIOPs - EU PLATFORM TOOLS - AIOPS REQUEST DETAILS 1) AIOPS DATA PLANE: 2) IMPACTED COUNTRY: Italy 3) ACCOUNT DPE NAME: Giorgio Parolini 4) ACCOUNT DPE EMAIL: giorgio.parolini@kyndryl.com 5) DPE EMAIL APPROVAL ATTACHMENT: DPE email approval.pdf 6) DESCRIPTION: Contract closed . I confirm that pre-requisites have been already completed. 7) ATTACHED OFFBOARDING FORM: offboarding_decomm_form 4.docx PLATFORM TOOLS - ADDITIONAL INFORMATION 1) NOTIFY:</t>
  </si>
  <si>
    <t>PLATFORM TOOLS - CUSTOMER DETAILS 1) CAPABILITY/TOOL: Integrated AIOps (AIOPS) 2) ACCOUNT LOOKUP (IF KNOWN): SMEUP ICS S.R.L. - v66 (BAC00035E0-IT) es.ams1 3) AIOPS LOCATION: Integrated AIOPs - EU PLATFORM TOOLS - AIOPS REQUEST DETAILS 1) AIOPS DATA PLANE: 2) IMPACTED COUNTRY: USA 3) ACCOUNT DPE NAME: Luciano Magnavacchi 4) ACCOUNT DPE EMAIL: luciano.magnavacchi@kyndryl.com 5) DPE EMAIL APPROVAL ATTACHMENT: SMEUP approval deletation by DP from aiops.pdf, Screenshot SMEUP ILMT July 26.png, Screenshot SMEUP Inventory July 26.png 6) DESCRIPTION: Smeup contract is closed - All pre-requisited activity was done 7) ATTACHED OFFBOARDING FORM: offboarding_decomm_form 4.docx PLATFORM TOOLS - ADDITIONAL INFORMATION 1) NOTIFY: Fedeli Gian Luca</t>
  </si>
  <si>
    <t>Laurentian - ServiceNow-Netcool-Extension</t>
  </si>
  <si>
    <t>PLATFORM TOOLS - BASIC DETAILS 1) SHORT DESCRIPTION: Laurentian - ServiceNow-Netcool-Extension 2) DESCRIPTION OF REQUEST: &lt;?xml version='1.0' encoding='UTF-8'?&gt;&lt;SOAP-ENV:Envelope xmlns:SOAP-ENV=\"http://schemas.xmlsoap.org/soap/envelope/\" xmlns:xsd=\"http://www.w3.org/2001/XMLSchema\" xmlns:xsi=\"http://www.w3.org/2001/XMLSchema-instance\"&gt;&lt;SOAP-ENV:Body&gt;&lt;insertResponse xmlns=\"http://www.service-now.com/u_incident_import\"&gt;&lt;sys_id&gt;ebd3c16d939543501d5736a74dba10bf&lt;/sys_id&gt;&lt;table&gt;incident&lt;/table&gt;&lt;display_name&gt;number&lt;/display_name&gt;&lt;display_value&gt;INC0512843&lt;/display_value&gt;&lt;status&gt;error&lt;/status&gt;&lt;error_message&gt;DATA POLICY EXCEPTION: â€ƒâ€ƒTHE FOLLOWING FIELDS ARE MANDATORY: ADDITIONAL COMMENTS&lt;/error_message&gt;&lt;/insertResponse&gt;&lt;/SOAP-ENV:Body&gt;&lt;/SOAP-ENV:Envelope&gt;" copy netcool option name="resolution" and to "comments" for closure requests Please assign to Vivien.Lee@kyndryl.com 3) CAPABILITY/TOOL: Integration Services (ISG) 4) ACCOUNT LOOKUP (IF KNOWN): bql - Banque Laurentienne - Canada - BAC0000291 - Mkt: Canada 5) ORG MARKET: US Shared 6) ADDITIONAL DETAILS: 7) NOTIFY: PLATFORM TOOLS - INTEGRATION SERVICES (ISG) DETAILS 1) LOCATION OF CAPABILITY/TOOL INSTANCE: IS/Ext - NA Satellite 2) TYPE OF REQUEST: General Request</t>
  </si>
  <si>
    <t>FORM DATA PLATFORM TOOLS - BASIC DETAILS 1) CAPABILITY/TOOL : Cloud Automation Community Framework (CACF) 2) SHORT DESCRIPTION : Six Hosts are having connection issue 3) DESCRIPTION OF ISSUE : List of Hosts - hclfmfs5045 - IBM Storage hcltmfs5045 - IBM Storage hdmc-fm-8969-1 - Brocade Switch hdmc-fm-8969-2 - Brocade Switch hdmc-tm-8969-1 - Brocade Switch hdmc-tm-8969-2 - Brocade Switch Ansible Playbook Jobs are succesful and sfs logs are collected Attaching specimen for hclfmfs5045/hcltmfs5045 4) CUSTOMER IMPACTED? : No 5) CUSTOMER BLUEID LOOKUP (IF KNOWN) : hhd - Honda - United States of America - BAC0000E1E - Mkt: USA 6) ORG MARKET : USA 7) WATCH LIST : 8) REPORTED PRIORITY : P3 - Medium (Sev3) 9) ADDITIONAL DETAILS : 10) ATTACHMENTS (EVIDENCE, SCREENSHOTS, LOGS,ETC) : Attached document PLATFORM TOOLS - CLOUD AUTOMATION COMMUNITY FRAMEWORK (CACF) DETAILS 11) LOCATION OF CAPABILITY/TOOL INSTANCE : CACF - NA 12) CAPABILITY/TOOL INSTANCE : CACF - NA3 13) ISSUE CATEGORY : Connectivity</t>
  </si>
  <si>
    <t>PLATFORM TOOLS - CUSTOMER DETAILS 1) CAPABILITY/TOOL: Integrated AIOps (AIOPS) 2) ACCOUNT LOOKUP (IF KNOWN): Valitor - vlt (BAC00038CF-DK) es.ams1 3) AIOPS LOCATION: Integrated AIOPs - EU PLATFORM TOOLS - AIOPS REQUEST DETAILS 1) AIOPS DATA PLANE: 2) IMPACTED COUNTRY: Strategic Markets 3) ACCOUNT DPE NAME: Adam Rzasa 4) ACCOUNT DPE EMAIL: adam.rzasa@kyndryl.com 5) DPE EMAIL APPROVAL ATTACHMENT: dpe approval aiops offboarding.pdf 6) DESCRIPTION: Myself, as Valitor DPE, approves offboarding since the contract expired in April. 7) ATTACHED OFFBOARDING FORM: offboarding_decomm_form 4.docx PLATFORM TOOLS - ADDITIONAL INFORMATION 1) NOTIFY:</t>
  </si>
  <si>
    <t>Need to filter in scope resolver groups for tickets extensions</t>
  </si>
  <si>
    <t>PL_TOOLS &gt; ChatOps</t>
  </si>
  <si>
    <t>PLATFORM TOOLS - BASIC DETAILS 1) SHORT DESCRIPTION: Need to filter in scope resolver groups for tickets extensions 2) DESCRIPTION OF REQUEST: We are encountering errors in the ChatOps channels when generating RCAs for tickets, and we believe this is due to receiving incidents from groups that are out of scope. To ensure we only receive tickets from in-scope groups, we request adding the in-scope resolver groups from the following list to the filter: I-SSO-XX-SMO-OTH-MAUTO I-IS-ES-IDS-SERVCOM I-IS-ES-IDS-N2SYSTEM I-OS-ES-SMO-SMI-MON I-OS-ES-INS-NETWORKING I-IS-ES-IDS-DB I-OS-ES-SMO-SMG-SCCD I-IS-ES-IDS-SEG-EXP I-OS-ES-OPS-MF I-IS-ES-IDS-CMOS I-IS-ES-IMS-DB_TRANAPPL I-IS-ES-IDS-AUTOMAT I-CE-ES-SSM-IPC I-IS-ES-IMS-SYSTEM_TOOLS I-OS-ES-FSO-SALACT-HW I-OS-ES-OPS-SCHED I-IS-ES-IDS-SYSTEM I-OS-ES-OPS-PCT I attach an image of the error in case help 3) CAPABILITY/TOOL: ChatOps 4) ACCOUNT LOOKUP (IF KNOWN): kxb - Kutxabank - Spain - BAC00021F9 - Mkt: Iberia 5) ORG MARKET: Iberia 6) ADDITIONAL DETAILS: 7) NOTIFY: GARCIA ANA BELEN 8) ATTACHMENTS (EVIDENCE, SCREENSHOTS, LOGS,ETC): RCA_error.png PLATFORM TOOLS - CHATOPS DETAILS 1) LOCATION OF CAPABILITY/TOOL INSTANCE: ChatOps - EU 2) TYPE OF REQUEST: General Request</t>
  </si>
  <si>
    <t>GLPI ticketing data is missing in AIOPs</t>
  </si>
  <si>
    <t>PLATFORM TOOLS - BASIC DETAILS 1) CAPABILITY/TOOL: Integrated AIOps (AIOPS) 2) SHORT DESCRIPTION: GLPI ticketing data is missing in AIOPs 3) DESCRIPTION OF ISSUE: Hello, I'm the Delivery manager working in IRS department under Wadysaw Jurkowski. After migrating from SNOW ticketing tool to GLPI we are missing data in AIOPs. Our customers' data needs to be mapped to our OU which is GCS - S&amp;R - Cyber Incident Recovery, Global (GCSSBKPWW-CIR). Will be more than grateful if someone can support us with this action. Thank you in advance 4) KYNDRYL BRIDGE CUSTOMER FOR AIOPS LOOKUP (IF KNOWN): AIR CANADA - acc (BAC0000285-CA) es.tor1 5) ORG MARKET: US Shared 6) WATCH LIST: 7) REPORTED PRIORITY: P2 - High (Sev2) 8) ADDITIONAL DETAILS: Issue is for all our supported customers - not only AIr Canada, we are missing data for all customers. PLATFORM TOOLS - INTEGRATED AIOPS (AIOPS) DETAILS 1) AIOPS LOCATION: Integrated AIOPs - Global 2) AIOPS INSTANCE: Global 3) AIOPS DATA PLANE: GLPI 4) WHERE ON THE WEB PAGE IS THE ISSUE LOCATED?: Home &gt; Header &gt; Home 5) WHAT SUBCATEGORY OF THE LOCATION IS THE ISSUE RELATED TO?: Others 6) URL OF THE WEB PAGE DISPLAYING THE ISSUE: 7) WHAT IS THE ISSUE?: Missing data</t>
  </si>
  <si>
    <t>change the approver DPE name for EY from Fazil Mohammed(Fazil.Mohammed1@kyndryl.com) to Neha Jain(Neha.Jain111@kyndryl.com). Fazil moved out of EY.</t>
  </si>
  <si>
    <t>PLATFORM TOOLS - BASIC DETAILS 1) SHORT DESCRIPTION: change the approver DPE name for EY from Fazil Mohammed(Fazil.Mohammed1@kyndryl.com) to Neha Jain(Neha.Jain111@kyndryl.com). Fazil moved out of EY. 2) DESCRIPTION OF REQUEST: 3) CAPABILITY/TOOL: Integrated AIOps (AIOPS) 4) KYNDRYL BRIDGE CUSTOMER FOR AIOPS LOOKUP (IF KNOWN): EY - ncy (BAC0000EDF-US) es.ams1 5) ORG MARKET: Germany 6) ADDITIONAL DETAILS: change the approver DPE name for EY from Fazil Mohammed(Fazil.Mohammed1@kyndryl.com) to Neha Jain(Neha.Jain111@kyndryl.com). Fazil moved out of EY. 7) NOTIFY: PLATFORM TOOLS - INTEGRATED AIOPS (AIOPS) DETAILS 1) AIOPS LOCATION: Integrated AIOPs - EU 2) AIOPS INSTANCE: Europe 3) TYPE OF REQUEST: AIOPS - ARMS</t>
  </si>
  <si>
    <t>PLATFORM TOOLS - CUSTOMER DETAILS 1) CAPABILITY/TOOL: Integrated AIOps (AIOPS) 2) ACCOUNT LOOKUP (IF KNOWN): *Not a customer account / not found 3) GSMA CODE: 4) NAME: 5) BAC / BAM ID: BAC0000108 6) COUNTRY: 7) AIOPS LOCATION: Integrated AIOPs - EU PLATFORM TOOLS - AIOPS REQUEST DETAILS 1) AIOPS DATA PLANE: 2) IMPACTED COUNTRY: Strategic Markets 3) ACCOUNT DPE NAME: Chandana.Dey@kyndryl.com 4) ACCOUNT DPE EMAIL: Chandana.Dey@kyndryl.com 5) DPE EMAIL APPROVAL ATTACHMENT: Inbox - Kavya Sanam - Outlook.pdf 6) DESCRIPTION: Hi Team, Could you please help in getting the below BAC ID offboarded as its an inactive BAC ID in AIOPs. Attached is the approval for the same. Unable to download the offboarding form as it shows access denied. BAC ID OU_I BAC0000108 59108f17feea.1 7) ATTACHED OFFBOARDING FORM: Screenshot 2026-04-28 212904.png PLATFORM TOOLS - ADDITIONAL INFORMATION 1) NOTIFY:</t>
  </si>
  <si>
    <t>Agentic AI Development team is working to develop an agent that will monitor scan failure messages published in the chat Ops/Teams for failed vulnerability and patch management scans.</t>
  </si>
  <si>
    <t>PLATFORM TOOLS - BASIC DETAILS 1) SHORT DESCRIPTION: Agentic AI Development team is working to develop an agent that will monitor scan failure messages published in the chat Ops/Teams for failed vulnerability and patch management scans. 2) DESCRIPTION OF REQUEST: REQUEST BACKGROUND Agentic AI Development team is working to develop an agent that will monitor scan failure messages published in the chat Ops/Teams for failed vulnerability and patch management scans. Once a failure message is detected, it will collect host, account, and error-code details, then fetch related evidence from external tools (such as the Ticketing tool, VIVA Channel, Elastic Index) such as incidents, changes, host-down events, component failures, or known issues. ASK CTO team is engaged to develop MCP Connector for this purpose however they need API Keys, API Credentials and API endpoints for this purpose. This request is to obtain the API Keys, API Credentials and API endpoints required by CTO team to build the MCP Connector that will help in fetching the details from Elastic Index . Read Only Access is required to Elastic index for all Geos/AIOPS Instances. Eg- delivery.cacf.job.metrics Can you please help us in providing the requested information. The objective is to correlate the collected information and generate an RCA with possible fixes, which will be published in ChatOps/Teams. As highlighted the solution will operate in read-only mode and will not create tickets, update Elastic, publish any details to Viva, or execute any actions in external tools. ============ ELASTIC REQUIREMENTS To support the integration design and onboarding process, we would appreciate guidance on the following: * Read-only API access model * Available APIs, schemas, and technical documentation * Security review and approval requirements * Any available MCP-compatible integration capabilities (if supported) Summary * Access requests should be submitted through the formal service request process. * The specific Elastic indexes required must be identified as part of the request. * API-based access is expected. * Security review and approval will be required before access can be granted. MCP compatibility is currently unknown and requires further validation. ================= 3) CAPABILITY/TOOL: Integrated AIOps (AIOPS) 4) KYNDRYL BRIDGE CUSTOMER FOR AIOPS LOOKUP (IF KNOWN): Demo AIOps Customer - k2t (BAC7209010-NL) es.ams1 5) ORG MARKET: US Shared 6) ADDITIONAL DETAILS: Raising this request on behalf of below CTO team request, plz reach out to them for any queries. SR needs to be assigned to AIOPS -Elastic Index team Sonia.Wadhwa@kyndryl.com Gowhar.Majeed@kyndryl.com Giridhar.Gopal1@kyndryl.com 7) NOTIFY: PLATFORM TOOLS - INTEGRATED AIOPS (AIOPS) DETAILS 1) AIOPS LOCATION: Integrated AIOPs - EU 2) AIOPS INSTANCE: Europe 3) TYPE OF REQUEST: AIOPS - General Request</t>
  </si>
  <si>
    <t>Enable Private Network Access to Dev Elasticsearch from Bridge KPR kb-dev-sp-kpr-wus2-az</t>
  </si>
  <si>
    <t>We have an Trino application running in BRIDGE KPR KB-DEV-SP-KPR-WUS2-AZ that needs to connect to the Elasticsearch cluster hosted in AIops dev environment we need: * Expose the Elasticsearch endpoint so it is reachable from BRIDGE KPR KB-DEV-SP-KPR-WUS2-AZ over the private network (without public internet exposure). * Configure the required network access (NSG/Firewall/Network Policies) to allow traffic from BRIDGE KPR KB-DEV-SP-KPR-WUS2-AZ to the Elasticsearch endpoint on the required port (typically 9200 for HTTPS). Ensure the Elasticsearch hostname is resolvable from BRIDGE KPR KB-DEV-SP-KPR-WUS2-AZ (Private DNS or equivalent). we have raise a same request to outbound to AIops dev environment https://github.com/kyndryl-cto/bdg-eng-tops-stdops-DevOps-Operations/issues/15802</t>
  </si>
  <si>
    <t>K-PLTools-AIOPs-JP-Delivery-Support</t>
  </si>
  <si>
    <t>Secrets onboarding for AIOPs dev_was1</t>
  </si>
  <si>
    <t>Hi team, need to onboard a service token to the vault path. * VAULT:/dx-platform-delivery/development/insights-service/data-plane/bridge-subject VAULT:/dx-platform-delivery/development/insights-service/data-plane/bridge-subject-api-key in development enviornment Thank you</t>
  </si>
  <si>
    <t>Please change DPE for the account HM4, HM1 and HMO</t>
  </si>
  <si>
    <t>PLATFORM TOOLS - BASIC DETAILS 1) SHORT DESCRIPTION: Please change DPE for the account HM4, HM1 and HMO 2) DESCRIPTION OF REQUEST: It seems requests for HMCL (Hero Motocorp Limited) is going to Geeta Batra. Geeta is now moved to different account and different role. I am now managing DPE functions for HMCL. Please transfer Geeta Batra's administrative roles to me 3) CAPABILITY/TOOL: Integrated AIOps (AIOPS) 4) KYNDRYL BRIDGE CUSTOMER FOR AIOPS LOOKUP (IF KNOWN): Hero MotoCorp Ltd - hm4 (BAC7E90000-IN) es.che1 5) ORG MARKET: India 6) ADDITIONAL DETAILS: 7) NOTIFY: GULATI ATUL PLATFORM TOOLS - INTEGRATED AIOPS (AIOPS) DETAILS 1) AIOPS LOCATION: Integrated AIOPs - AP 2) AIOPS INSTANCE: Asia Pacific 3) TYPE OF REQUEST: AIOPS - ARMS</t>
  </si>
  <si>
    <t>IzPCA MSU-MIPS values are incorrect</t>
  </si>
  <si>
    <t>PLATFORM TOOLS - BASIC DETAILS 1) CAPABILITY/TOOL: Integrated AIOps (AIOPS) 2) SHORT DESCRIPTION: IzPCA MSU-MIPS values are incorrect 3) DESCRIPTION OF ISSUE: Under AIOPS for AMex account, the dashboard IzPCA MSU-MIPS Insights is showing incorrect values and need to be corrected. The MSU value is showing as above 15K and spiking to 20K msu, and our highest so far is 10650 MSU 4) KYNDRYL BRIDGE CUSTOMER FOR AIOPS LOOKUP (IF KNOWN): American Express - amx (BAC000101B-US) es.was1 5) ORG MARKET: USA 6) WATCH LIST: KUHN BYRON 7) REPORTED PRIORITY: P2 - High (Sev2) 8) ADDITIONAL DETAILS: 9) ATTACHMENTS (EVIDENCE, SCREENSHOTS, LOGS,ETC): image (2).png PLATFORM TOOLS - INTEGRATED AIOPS (AIOPS) DETAILS 1) AIOPS LOCATION: Integrated AIOPs - NA 2) AIOPS INSTANCE: Americas 3) AIOPS DATA PLANE: 4) WHERE ON THE WEB PAGE IS THE ISSUE LOCATED?: Home &gt; Header &gt; Insights &gt; Dashboards 5) WHAT SUBCATEGORY OF THE LOCATION IS THE ISSUE RELATED TO?: Mainframe MIPS Insights 6) URL OF THE WEB PAGE DISPLAYING THE ISSUE: https://www.kyndryl.com/bridge/aiops/insights/dashboard/83aad588-9cb6-4b1b-ba06-45b0aac86107/ 7) WHAT IS THE ISSUE?: Incorrect data</t>
  </si>
  <si>
    <t>chatops open tikcet after 1 hour the ticket is open in GLPI</t>
  </si>
  <si>
    <t>PLATFORM TOOLS - BASIC DETAILS 1) CAPABILITY/TOOL: Integrated AIOps (AIOPS) 2) SHORT DESCRIPTION: chatops open tikcet after 1 hour the ticket is open in GLPI 3) DESCRIPTION OF ISSUE: We are working with chatops to open P1 incident, but we noticed the P1 chatops incident is open for example 9 AM, but the ticket in GPLI is open 8 AM. This means the P1 chatops have 1 hour to be opened this means SLA is lost, if I use this to work with 24 x 7 team, this will not happen. 4) KYNDRYL BRIDGE CUSTOMER FOR AIOPS LOOKUP (IF KNOWN): Saint Gobain BR - sgb (BAC0000963-BR) es.was1 5) ORG MARKET: Strategic Markets 6) WATCH LIST: Tozelli Nolli Ricardo, das Chagas Vecchia Luciano Augusto 7) REPORTED PRIORITY: P3 - Medium (Sev3) 8) ADDITIONAL DETAILS: 9) ATTACHMENTS (EVIDENCE, SCREENSHOTS, LOGS,ETC): Screenshot 2026-07-13 105113.png, Screenshot 2026-07-13 104954.png PLATFORM TOOLS - INTEGRATED AIOPS (AIOPS) DETAILS 1) AIOPS LOCATION: Integrated AIOPs - NA 2) AIOPS INSTANCE: Americas 3) AIOPS DATA PLANE: 4) WHERE ON THE WEB PAGE IS THE ISSUE LOCATED?: Home &gt; Header &gt; Insights &gt; Dashboards &gt; All Dashboards 5) WHAT SUBCATEGORY OF THE LOCATION IS THE ISSUE RELATED TO?: Extensions 6) URL OF THE WEB PAGE DISPLAYING THE ISSUE: 7) WHAT IS THE ISSUE?: Configuration</t>
  </si>
  <si>
    <t>Pacifico Seguros Peru, Prima, EPS and Grupo Credito SA: Unable to create Client Tool Mapping â€“ role/permission issue</t>
  </si>
  <si>
    <t>Hello team, I am trying to create a new CLIENT TOOL MAPPING in a newly provisioned account. However, despite having access to all the required roles, the system is preventing the operation. When attempting to create the mapping, I receive the following error message: &gt; "CREATE CLIENT TOOL MAPPING FAILED!" &gt; "USER DOES NOT HAVE ROLE TO PERFORM THE OPERATION. PLEASE CONTACT ADMINISTRATOR." Del Segmt Name Del Segmt ID (BAC ID) GSMA Code GSMA Description Pacifico Seguros Peru DSG00000AE f1d Pacifico Seguros PE_PRIMA AFP DSG00000AB d40 PRIMA AFP Pacifico EPS DSG00000AF 18c Pacifico EPS Grupo Credito S.A. DSG00000B8 76f Grupo Credito S.A.</t>
  </si>
  <si>
    <t>Deactivate Smart Matchers in the "Los Portales" account</t>
  </si>
  <si>
    <t>PLATFORM TOOLS - BASIC DETAILS 1) SHORT DESCRIPTION: Deactivate Smart Matchers in the "Los Portales" account 2) DESCRIPTION OF REQUEST: Please support me by disabling Smart Matchers on the "Los Portales" account. I await your confirmation. 3) CAPABILITY/TOOL: Integrated AIOps (AIOPS) 4) KYNDRYL BRIDGE CUSTOMER FOR AIOPS LOOKUP (IF KNOWN): Los Portales - lpt (BAC0002CCD-PE) es.was1 5) ORG MARKET: Strategic Markets 6) ADDITIONAL DETAILS: 7) NOTIFY: PLATFORM TOOLS - INTEGRATED AIOPS (AIOPS) DETAILS 1) AIOPS LOCATION: Integrated AIOPs - NA 2) AIOPS INSTANCE: Americas 3) TYPE OF REQUEST: AIOPS - General Request</t>
  </si>
  <si>
    <t>Revoke approver access for Suncorp Peoplesoft</t>
  </si>
  <si>
    <t>PLATFORM TOOLS - BASIC DETAILS 1) SHORT DESCRIPTION: Revoke approver access for Suncorp Peoplesoft 2) DESCRIPTION OF REQUEST: Please revoke approver access for in ARMS as I am not supporting the account. Suncorp Peoplesoft 85ae2a773dcc.1 3) CAPABILITY/TOOL: Integrated AIOps (AIOPS) 4) KYNDRYL BRIDGE CUSTOMER FOR AIOPS LOOKUP (IF KNOWN): Suncorp Peoplesoft - sn6 (BAM0002712-AU) es.syd1 5) ORG MARKET: Strategic Markets 6) ADDITIONAL DETAILS: 7) NOTIFY: PLATFORM TOOLS - INTEGRATED AIOPS (AIOPS) DETAILS 1) AIOPS LOCATION: Integrated AIOPs - AP 2) AIOPS INSTANCE: Asia Pacific 3) TYPE OF REQUEST: AIOPS - ARMS</t>
  </si>
  <si>
    <t>CEP Dashboard and Inventory360 Dashboard not accessible from dashboards menu at the left side.</t>
  </si>
  <si>
    <t>PLATFORM TOOLS - BASIC DETAILS 1) CAPABILITY/TOOL: Integrated AIOps (AIOPS) 2) SHORT DESCRIPTION: CEP Dashboard and Inventory360 Dashboard not accessible from dashboards menu at the left side. 3) DESCRIPTION OF ISSUE: Hi Team, CEP Dashboard and Inventory360 Dashboard should appear in the dashboard's menu at the left side. I am concerned that Bridge/AIOPS convergency or Bridge UI change last month is affecting something in the menu. Please investigate and let us know the cause. Thank you 4) KYNDRYL BRIDGE CUSTOMER FOR AIOPS LOOKUP (IF KNOWN): Kobe Steel Ltd. - kob (BAC0000F62-JP) es.jpn1 5) ORG MARKET: Japan 6) WATCH LIST: ITOH MIYAKO 7) REPORTED PRIORITY: P3 - Medium (Sev3) 8) ADDITIONAL DETAILS: 9) ATTACHMENTS (EVIDENCE, SCREENSHOTS, LOGS,ETC): Screenshot 2026-07-15 at 6.34.49.png, Screenshot 2026-07-15 at 6.35.58.png PLATFORM TOOLS - INTEGRATED AIOPS (AIOPS) DETAILS 1) AIOPS LOCATION: Integrated AIOPs - JP 2) AIOPS INSTANCE: Japan 3) AIOPS DATA PLANE: 4) WHERE ON THE WEB PAGE IS THE ISSUE LOCATED?: Home &gt; Header &gt; Insights &gt; Dashboards 5) WHAT SUBCATEGORY OF THE LOCATION IS THE ISSUE RELATED TO?: Inventory 360 6) URL OF THE WEB PAGE DISPLAYING THE ISSUE: 7) WHAT IS THE ISSUE?: Missing data</t>
  </si>
  <si>
    <t>RCA: Repeated Access Issues in ARMS</t>
  </si>
  <si>
    <t>PLATFORM TOOLS - BASIC DETAILS 1) SHORT DESCRIPTION: RCA: Repeated Access Issues in ARMS 2) DESCRIPTION OF REQUEST: IGNORE ACCOUNT SELECTION. GLPI does not have a multi or "all" account selection on a required field. Team, A standard response we get for ARMS access issues is to revoke and request the access again. This should not be considered a valid solution. There is clearly an underlying system issue that needs to be addressed. I would like to request that this issue is documented and fixed so that ARMS works as expected without users wasting time trying to get access they already have and then having to revoke and wait again for approvals etc etc etc. Please let me know if any additional information is needed. Thanks 3) CAPABILITY/TOOL: Integrated AIOps (AIOPS) 4) KYNDRYL BRIDGE CUSTOMER FOR AIOPS LOOKUP (IF KNOWN): Advanced Delivery - Americas - i1p, i3p (BAC0002FA5-US) es.was1 5) ORG MARKET: US Shared 6) ADDITIONAL DETAILS: This is for ALL ACCOUNTS. Not the selected account. This is an ARMS issue. Please do not forward to the wrong team. 7) NOTIFY: 8) ATTACHMENTS (EVIDENCE, SCREENSHOTS, LOGS,ETC): Screenshot 2026-07-14 193801.png, Screenshot 2026-07-14 193627.png, Screenshot 2026-07-14 193616.png, Screenshot 2026-07-14 193552.png, Screenshot 2026-07-14 193520.png PLATFORM TOOLS - INTEGRATED AIOPS (AIOPS) DETAILS 1) AIOPS LOCATION: Integrated AIOPs - NA 2) AIOPS INSTANCE: Americas 3) TYPE OF REQUEST: AIOPS - ARMS</t>
  </si>
  <si>
    <t>Lack of visibility to global data plane dashboards for KRI data</t>
  </si>
  <si>
    <t>PLATFORM TOOLS - BASIC DETAILS 1) CAPABILITY/TOOL: Integrated AIOps (AIOPS) 2) SHORT DESCRIPTION: Lack of visibility to global data plane dashboards for KRI data 3) DESCRIPTION OF ISSUE: Net new dashboard created for global data plan views (including views at POD, Country, etc based on access level) for metrics and KPIs from KRI data (AHA IN-I-3966) across all six KRI data planes. Updates were promoted to production 28th of May (and prior) - yet views are not yet visible. Views confirmed visible in staging From my perspective, I can see nothing - though while looking to emulate dev access - I had requested access to a few pods (all approved) but also to Global - though access to "bundle-backup-and-resiliency" OU option is World Wide not Global as in Eva's view in staging as Global was not an OU option.. NOTE: The World Wide access request has been pending since 3rd of June - not sure request went anywhere for approval and I have no idea for whom to contact as a chaser. 4) KYNDRYL BRIDGE CUSTOMER FOR AIOPS LOOKUP (IF KNOWN): Backup as a Service, Optimized - bks (BAC0002B25-US) es.was1 5) ORG MARKET: US Shared 6) WATCH LIST: JuÅ™enovÃ¡ Eva, Mayandi Thirumurugan, MOHD NOORUDDIN 7) REPORTED PRIORITY: P2 - High (Sev2) 8) ADDITIONAL DETAILS: Scope is not limited to account/org market - selected only a means to complete ticket submission PLATFORM TOOLS - INTEGRATED AIOPS (AIOPS) DETAILS 1) AIOPS LOCATION: Integrated AIOPs - Global 2) AIOPS INSTANCE: Global 3) AIOPS DATA PLANE: 4) WHERE ON THE WEB PAGE IS THE ISSUE LOCATED?: Home &gt; Header &gt; Insights &gt; Dashboards &gt; All Dashboards 5) WHAT SUBCATEGORY OF THE LOCATION IS THE ISSUE RELATED TO?: KRI 6) URL OF THE WEB PAGE DISPLAYING THE ISSUE: 7) WHAT IS THE ISSUE?: Other</t>
  </si>
  <si>
    <t>Requesting Access to Kibana on Staging env</t>
  </si>
  <si>
    <t>PLATFORM TOOLS - BASIC DETAILS 1) SHORT DESCRIPTION: Requesting Access to Kibana on Staging env 2) DESCRIPTION OF REQUEST: As a developer on Network and Edge team I need to verify data on staging to make sure my work is working fine. My email: Santiago.gamboa@kyndryl.com 3) CAPABILITY/TOOL: Integrated AIOps (AIOPS) 4) KYNDRYL BRIDGE CUSTOMER FOR AIOPS LOOKUP (IF KNOWN): Kyndryl Shared Customer (NO MF) - wsc (BAM0000CDE-IT) es.ams1 5) ORG MARKET: USA 6) ADDITIONAL DETAILS: 7) NOTIFY: PLATFORM TOOLS - INTEGRATED AIOPS (AIOPS) DETAILS 1) AIOPS LOCATION: Integrated AIOPs - Global 2) AIOPS INSTANCE: Global 3) TYPE OF REQUEST: AIOPS - General Request</t>
  </si>
  <si>
    <t>inventory process closing in Venezuela</t>
  </si>
  <si>
    <t>PLATFORM TOOLS - BASIC DETAILS 1) CAPABILITY/TOOL: Inventory Service (IS) 2) SHORT DESCRIPTION: inventory process closing in Venezuela 3) DESCRIPTION OF ISSUE: Currently, inventory support is no longer provided in Venezuela, as there are no active accounts and Kyndryl Venezuela has been closed. Please verify whether there are any devices with PRODUCTION status and change their status to DECOMMISSIONED. 4) CUSTOMER IMPACTED?: Yes 5) CUSTOMER BLUEID LOOKUP (IF KNOWN): snv - GSNI Venezuela - Venezuela - null 6) WATCH LIST: Yanez Barcia Wilson 7) REPORTED PRIORITY: P1 - Critical (Sev1) 8) ADDITIONAL DETAILS: 9) ATTACHMENTS (EVIDENCE, SCREENSHOTS, LOGS,ETC): VE asset balance report as of 260331 area01.XLSX, e-mail.pdf PLATFORM TOOLS - INVENTORY SERVICE (IS) DETAILS 1) LOCATION OF CAPABILITY/TOOL INSTANCE: US_Sharedâ€‹ 2) ISSUE CATEGORY: Server</t>
  </si>
  <si>
    <t>Delay in data refresh for Incident Data coming to Incident Insight dashboard</t>
  </si>
  <si>
    <t>PLATFORM TOOLS - BASIC DETAILS 1) CAPABILITY/TOOL: Integrated AIOps (AIOPS) 2) SHORT DESCRIPTION: Delay in data refresh for Incident Data coming to Incident Insight dashboard 3) DESCRIPTION OF ISSUE: We are experiencing significant delays in receiving incident notifications from ServiceNow (SNOW) in AIOps, which is impacting the effectiveness of the Debug and Remediation Agent. Our ChatOps integration with SNOW sends a Teams notification whenever a high-priority incident (HPI) is created. Upon receiving the notification, the Debug Agent attempts to locate the incident in the Bridge AIOps Incident Dashboard. However, the agent consistently fails because the incident is not yet available in AIOps, even after more than 10 retrieval attempts at 2-minute intervals. As a result, the agent terminates without performing any diagnostics or remediation. We have verified the Incident Extension configuration, and the refresh interval is set to 60 seconds. Despite this, newly created HPIs are not appearing in AIOps within the expected timeframe. We would appreciate your assistance in investigating the cause of this delay between SNOW incident creation and its availability in AIOps. This latency is directly affecting the Debug and Remediation Agent's ability to operate effectively. 4) KYNDRYL BRIDGE CUSTOMER FOR AIOPS LOOKUP (IF KNOWN): Elevance Health - wlp (BAC0000BF2) es.was1 5) ORG MARKET: USA 6) WATCH LIST: Liesenfelt Tory 7) REPORTED PRIORITY: P3 - Medium (Sev3) 8) ADDITIONAL DETAILS: 9) ATTACHMENTS (EVIDENCE, SCREENSHOTS, LOGS,ETC): delay in AIOPs data refresh.docx PLATFORM TOOLS - INTEGRATED AIOPS (AIOPS) DETAILS 1) AIOPS LOCATION: Integrated AIOPs - NA 2) AIOPS INSTANCE: US Restricted 3) AIOPS DATA PLANE: 4) WHERE ON THE WEB PAGE IS THE ISSUE LOCATED?: Home &gt; Header &gt; Insights &gt; Dashboards 5) WHAT SUBCATEGORY OF THE LOCATION IS THE ISSUE RELATED TO?: Extensions 6) URL OF THE WEB PAGE DISPLAYING THE ISSUE: https://www.kyndryl.com/bridge/aiops/home/incidentDashboard 7) WHAT IS THE ISSUE?: Other</t>
  </si>
  <si>
    <t>In the AIOPs BPS dashboard, we are unable to generate Last 24 hours report</t>
  </si>
  <si>
    <t>PLATFORM TOOLS - BASIC DETAILS 1) CAPABILITY/TOOL: Integrated AIOps (AIOPS) 2) SHORT DESCRIPTION: In the AIOPs BPS dashboard, we are unable to generate Last 24 hours report 3) DESCRIPTION OF ISSUE: In the AIOPs BPS dashboard, we are unable to generate Last 24 hours report. From last 2 days, we are getting below count. Please find the below screenshot for more information 4) KYNDRYL BRIDGE CUSTOMER FOR AIOPS LOOKUP (IF KNOWN): Kaiser Permanente - kph, kpt, kp2 (BAC0000A78-US) es.was1 5) ORG MARKET: US Shared 6) WATCH LIST: 7) REPORTED PRIORITY: P4 - Low (Sev4) 8) ADDITIONAL DETAILS: 9) ATTACHMENTS (EVIDENCE, SCREENSHOTS, LOGS,ETC): BPS-Last 24hours.jpg PLATFORM TOOLS - INTEGRATED AIOPS (AIOPS) DETAILS 1) AIOPS LOCATION: Integrated AIOPs - NA 2) AIOPS INSTANCE: Americas 3) AIOPS DATA PLANE: 4) WHERE ON THE WEB PAGE IS THE ISSUE LOCATED?: Home &gt; Header &gt; Insights &gt; Dashboards 5) WHAT SUBCATEGORY OF THE LOCATION IS THE ISSUE RELATED TO?: Best Practice 6) URL OF THE WEB PAGE DISPLAYING THE ISSUE: 7) WHAT IS THE ISSUE?: Incorrect data</t>
  </si>
  <si>
    <t>New</t>
  </si>
  <si>
    <t>Please update account DPE name</t>
  </si>
  <si>
    <t>PLATFORM TOOLS - BASIC DETAILS 1) SHORT DESCRIPTION: Please update account DPE name 2) DESCRIPTION OF REQUEST: Hi team, Can you please update account DPE for Mota Engil account for eduardo.azevedo@kyndryl.com , as previous DPE left Kyndryl. Tx 3) CAPABILITY/TOOL: Integrated AIOps (AIOPS) 4) KYNDRYL BRIDGE CUSTOMER FOR AIOPS LOOKUP (IF KNOWN): mo3 - Mota Engil (BAC100A010-PT) 5) ORG MARKET: Iberia 6) ADDITIONAL DETAILS: 7) NOTIFY: Sinceridades Carlos PLATFORM TOOLS - INTEGRATED AIOPS (AIOPS) DETAILS 1) AIOPS LOCATION: Integrated AIOPs - EU 2) AIOPS INSTANCE: Europe 3) TYPE OF REQUEST: AIOPS - ARMS</t>
  </si>
  <si>
    <t>â€œext-aiops-robot-ui-servicesâ€ application need to be restarted</t>
  </si>
  <si>
    <t>â€œext-aiops-robot-ui-servicesâ€ application need to be restarted since we have updated the vault value, so pod need to restarted in the GEO - AG, AP, EU, IN , JP</t>
  </si>
  <si>
    <t>I can no longer access any AIOps features.</t>
  </si>
  <si>
    <t>For example, when I try to access this URL: https://www.kyndryl.com/bridge/aiops/home/ I get an authentication error. Also, when I access: https://www.kyndryl.com/bridge/console/ it shows "Welcome back, Marco", but the dashboard is empty. I have already requested the required authorizations through ARMS. For some reason, I noticed that all my previous grants had disappeared, so I submitted the requests again. This morning I received the ARMS notification confirming that the authorizations had been granted.</t>
  </si>
  <si>
    <t>WBA|| After renewing certificate still showing old report on AIOSP</t>
  </si>
  <si>
    <t>PLATFORM TOOLS - BASIC DETAILS 1) CAPABILITY/TOOL: Integrated AIOps (AIOPS) 2) SHORT DESCRIPTION: WBA|| After renewing certificate still showing old report on AIOSP 3) DESCRIPTION OF ISSUE: WBA|| After renewing certificate still showing old report on AIOSP [root@botbANJmp02 ~]# echo | openssl s_client -connect localhost:8081 -servername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localhost:8082 -servername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localhost:5000 -servername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4) KYNDRYL BRIDGE CUSTOMER FOR AIOPS LOOKUP (IF KNOWN): Boots Group - wba (BAM0002E70-GB) es.ams1 5) ORG MARKET: UKI 6) WATCH LIST: 7) REPORTED PRIORITY: P3 - Medium (Sev3) 8) ADDITIONAL DETAILS: WBA|| After renewing certificate still showing old report on AIOSP [root@botbANJmp02 ~]# echo | openssl s_client -connect localhost:8081 -servername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localhost:8082 -servername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localhost:5000 -servername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9) ATTACHMENTS (EVIDENCE, SCREENSHOTS, LOGS,ETC): Haproxy_cert_renew.png PLATFORM TOOLS - INTEGRATED AIOPS (AIOPS) DETAILS 1) AIOPS LOCATION: Integrated AIOPs - EU 2) AIOPS INSTANCE: Europe 3) AIOPS DATA PLANE: 4) WHERE ON THE WEB PAGE IS THE ISSUE LOCATED?: Home &gt; Header &gt; Insights &gt; Dashboards 5) WHAT SUBCATEGORY OF THE LOCATION IS THE ISSUE RELATED TO?: Data Flow 6) URL OF THE WEB PAGE DISPLAYING THE ISSUE: 7) WHAT IS THE ISSUE?: Incorrect data</t>
  </si>
  <si>
    <t>Need AP, IN, JP Kibana Prod Read only Access for Self Service Enablement activities.</t>
  </si>
  <si>
    <t>PLATFORM TOOLS - BASIC DETAILS 1) SHORT DESCRIPTION: Need AP, IN, JP Kibana Prod Read only Access for Self Service Enablement activities. 2) DESCRIPTION OF REQUEST: To support self - service enablement program need read access to all the namespaces for AP, IN, JP Prod Kibana read only access to all the stack management features mentioned below Index Management Index Lifecycle Policies Transforms Data Views Saved Objects 3) CAPABILITY/TOOL: Integrated AIOps (AIOPS) 4) KYNDRYL BRIDGE CUSTOMER FOR AIOPS LOOKUP (IF KNOWN): Demo AIOps Presales Australia - d3p (BAC9509010-AU) es.syd1 5) ORG MARKET: ANZ 6) ADDITIONAL DETAILS: To support self - service enablement program need read access to all the namespaces for AP, IN, JP Prod Kibana read only access to all the stack management features mentioned below Index Management Index Lifecycle Policies Transforms Data Views Saved Objects 7) NOTIFY: PLATFORM TOOLS - INTEGRATED AIOPS (AIOPS) DETAILS 1) AIOPS LOCATION: Integrated AIOPs - AP 2) AIOPS INSTANCE: Asia Pacific 3) TYPE OF REQUEST: AIOPS - General Request</t>
  </si>
  <si>
    <t>Need AP, IN, JP Kibana Read Access for Self Service activities. Please provide the access. Thank you</t>
  </si>
  <si>
    <t>PLATFORM TOOLS - BASIC DETAILS 1) SHORT DESCRIPTION: Need AP, IN, JP Kibana Read Access for Self Service activities. Please provide the access. Thank you 2) DESCRIPTION OF REQUEST: Hi Team, To support selfservice enablement program need read access to all the namespaces for AP, IN, JP Kibana. also need read access to all the stack management features mentioned below Index Management Index Lifecycle Policies Transforms Data Views Saved Objects 3) CAPABILITY/TOOL: Integrated AIOps (AIOPS) 4) KYNDRYL BRIDGE CUSTOMER FOR AIOPS LOOKUP (IF KNOWN): ADAI Managed Apps - BRENNTAG PTE LTD - bap (BAC0003426-SG) es.syd1 5) ORG MARKET: ANZ 6) ADDITIONAL DETAILS: Hi Team, To support selfservice enablement program need read access to all the namespaces for AP, IN, JP Kibana. also need read access to all the stack management features mentioned below Index Management Index Lifecycle Policies Transforms Data Views Saved Objects 7) NOTIFY: PLATFORM TOOLS - INTEGRATED AIOPS (AIOPS) DETAILS 1) AIOPS LOCATION: Integrated AIOPs - AP 2) AIOPS INSTANCE: Asia Pacific 3) TYPE OF REQUEST: AIOPS - General Request</t>
  </si>
  <si>
    <t>PLATFORM TOOLS - BASIC DETAILS 1) SHORT DESCRIPTION: Limited Visibility of ThreatCon Alerts in AIOps Despite Assigned Roles 2) DESCRIPTION OF REQUEST: AS PART OF MY RESPONSIBILITIES WITHIN THE SYSTEM COMPLIANCE SERVICES (SCS) TEAM IN MEXICO, I AM RESPONSIBLE FOR THE CONTINUOUS REVIEW AND FOLLOW-UP OF THREATCON ALERTS RECEIVED ON A REGULAR BASIS. DURING THE ANALYSIS OF AVAILABLE TOOLS, IT WAS IDENTIFIED THAT AIOPS INCLUDES A _THREATCON INSIGHTS_ SECTION. BASED ON THIS, MULTIPLE ROLES WERE REQUESTED THROUGH ARMS TO ENABLE VISIBILITY AT THE ACCOUNT LEVEL: * _platform-viewer_ * _bundle-performance_ * _bundle-transformation-management_ * _bundle-security-and-compliance-management_ * _bundle-security-and-vulnerability-management_ THE OBJECTIVE OF THESE ACCESSES IS TO OBTAIN CONSOLIDATED VISIBILITY OF METRICS ACROSS THE DIFFERENT ACCOUNTS IN MEXICO. WHILE THESE ROLES ALLOW ACCESS TO THE _THREATCON INSIGHTS_ SECTION, IT IS CURRENTLY NOT POSSIBLE TO EXTRACT A DETAILED LIST OF OPEN ALERTS OR THOSE THAT HAVE BEEN CLOSED PER ACCOUNT. THIS LIMITATION IMPACTS OPERATIONAL TRACKING AND THE ABILITY TO GENERATE EXECUTIVE-LEVEL REPORTING. IN THIS CONTEXT, CLARIFICATION IS REQUIRED REGARDING THE MECHANISM OR ADDITIONAL ACCESS NEEDED TO RETRIEVE THIS INFORMATION IN A STRUCTURED MANNER, AS WELL AS TO VALIDATE WHETHER THERE ARE CURRENT LIMITATIONS RELATED TO ROLES, DATA VISIBILITY, OR TOOL FUNCTIONALITY. 3) CAPABILITY/TOOL: Integrated AIOps (AIOPS) 4) KYNDRYL BRIDGE CUSTOMER FOR AIOPS LOOKUP (IF KNOWN): *Multiple Customers 5) ORG MARKET: US Shared 6) ADDITIONAL DETAILS: I was able to download a CSV file containing closed vulnerabilities; however, not all Mexico accounts are reflected in the report. Additionally, when extracting open vulnerabilities, the data returned is not usable, as it appears in a coded or non-readable format rather than a structured list with the required information. I attempted to attach the file for reference; however, it was not possible due to its size. Instead, I have included an image of the first rows. 7) NOTIFY: 8) ATTACHMENTS (EVIDENCE, SCREENSHOTS, LOGS,ETC): rows.png PLATFORM TOOLS - INTEGRATED AIOPS (AIOPS) DETAILS 1) AIOPS LOCATION: Integrated AIOPs - Global 2) AIOPS INSTANCE: Global 3) TYPE OF REQUEST: AIOPS - General Request</t>
  </si>
  <si>
    <t>How do we enable new widget in CIO Console dashboard</t>
  </si>
  <si>
    <t>PLATFORM TOOLS - BASIC DETAILS 1) SHORT DESCRIPTION: How do we enable new widget in CIO Console dashboard 2) DESCRIPTION OF REQUEST: How do we enable new widget in CIO Console dashboard. There was a requirement from HMSI CIO, we need to customize the dashboard as per the CIO requirement. Please let us know the process for adding new widget in CIO Console dashboard. CIO Console 3) CAPABILITY/TOOL: Integrated AIOps (AIOPS) 4) KYNDRYL BRIDGE CUSTOMER FOR AIOPS LOOKUP (IF KNOWN): Honda (HMSI) - hmi (BAC00024C9-IN) es.che1 5) ORG MARKET: India 6) ADDITIONAL DETAILS: this is the requirement from HMSI CIO 7) NOTIFY: Chitrambalam Radhakrishnan, Danish Shakeel 8) ATTACHMENTS (EVIDENCE, SCREENSHOTS, LOGS,ETC): HMSI_CIO dashboard.png PLATFORM TOOLS - INTEGRATED AIOPS (AIOPS) DETAILS 1) AIOPS LOCATION: Integrated AIOPs - IN 2) AIOPS INSTANCE: India 3) TYPE OF REQUEST: AIOPS - General Request</t>
  </si>
  <si>
    <t>Getting error while clicking inventory details from CIO Console dashboard - HMSI</t>
  </si>
  <si>
    <t>PLATFORM TOOLS - BASIC DETAILS 1) CAPABILITY/TOOL: Integrated AIOps (AIOPS) 2) SHORT DESCRIPTION: Getting error while clicking inventory details from CIO Console dashboard - HMSI 3) DESCRIPTION OF ISSUE: Getting error while clicking inventory details from CIO Console dashboard - HMSI. even though i have required inventory service access. multiple users are getting the same error 4) KYNDRYL BRIDGE CUSTOMER FOR AIOPS LOOKUP (IF KNOWN): Honda (HMSI) - hmi (BAC00024C9-IN) es.che1 5) ORG MARKET: India 6) WATCH LIST: Chitrambalam Radhakrishnan, Danish Shakeel 7) REPORTED PRIORITY: P2 - High (Sev2) 8) ADDITIONAL DETAILS: Please check it on priority, as we have the CIO presentation next week 9) ATTACHMENTS (EVIDENCE, SCREENSHOTS, LOGS,ETC): HMSI_inventory.png, HMSI_error.png PLATFORM TOOLS - INTEGRATED AIOPS (AIOPS) DETAILS 1) AIOPS LOCATION: Integrated AIOPs - IN 2) AIOPS INSTANCE: India 3) AIOPS DATA PLANE: 4) WHERE ON THE WEB PAGE IS THE ISSUE LOCATED?: Home &gt; Header &gt; Insights &gt; Dashboards 5) WHAT SUBCATEGORY OF THE LOCATION IS THE ISSUE RELATED TO?: Dashboard 6) URL OF THE WEB PAGE DISPLAYING THE ISSUE: 7) WHAT IS THE ISSUE?: Configuration</t>
  </si>
  <si>
    <t>AP shared Netbox instance not accessible - needs to bring up and configure to ensure instance is ready for NIAS feature</t>
  </si>
  <si>
    <t>AP shared Netbox instance not accessible - needs to bring up and configure to ensure instance is ready for NIAS feature This ticket needs to be assigned to Srinivasa.Yalamarti@kyndryl.com as he has access to AP AIOps cluster We need to perform following: 1. Ensure all PODS related to AP shared netbox instance are up and running 2. Ensure Instance is accessible via Netbox URL and if not, reset admin and super user password 3. Create API key and configure this API key from gateway POD in the regional vault Netbox Instance Info: AP Shared Sydney syd1 https://cc3bb94a8336.1.account.delivery.kyndryl.net/network-service--netbox \https://cc3bb94a8336.1.account.delivery.kyndryl.net/network-service--netbox</t>
  </si>
  <si>
    <t>Unable to use AIOps Automation Service</t>
  </si>
  <si>
    <t>PLATFORM TOOLS - BASIC DETAILS 1) CAPABILITY/TOOL: Integrated AIOps (AIOPS) 2) SHORT DESCRIPTION: Unable to use AIOps Automation Service 3) DESCRIPTION OF ISSUE: The Automation page is not functioning in AIOps. I believe the permissions and requests are in place, but the relevant Automation page continues to be not functioning. (Please check the attachment for AIOps_Automation_pagefailure.png) We cannot determine whether this is an issue on the AIOps side or due to insufficient applications. We apologize for the inconvenience, but please confirm this issue. 4) KYNDRYL BRIDGE CUSTOMER FOR AIOPS LOOKUP (IF KNOWN): T&amp;I - ti4 (BAC0002EC0-JP) es.jpn1 5) ORG MARKET: Japan 6) WATCH LIST: 7) REPORTED PRIORITY: P2 - High (Sev2) 8) ADDITIONAL DETAILS: ãƒ»Various permissions applied for in ARMS have been completed. ãƒ»AIOps onboarding has been completed. 9) ATTACHMENTS (EVIDENCE, SCREENSHOTS, LOGS,ETC): AIOps_Automation_pagefailure.png, ARMS.png PLATFORM TOOLS - INTEGRATED AIOPS (AIOPS) DETAILS 1) AIOPS LOCATION: Integrated AIOPs - JP 2) AIOPS INSTANCE: Japan 3) AIOPS DATA PLANE: 4) WHERE ON THE WEB PAGE IS THE ISSUE LOCATED?: Home &gt; Header &gt; Automation &gt; Actions 5) WHAT SUBCATEGORY OF THE LOCATION IS THE ISSUE RELATED TO?: Automation 6) URL OF THE WEB PAGE DISPLAYING THE ISSUE: https://www.kyndryl.com/bridge/aiops/actions/ 7) WHAT IS THE ISSUE?: Other</t>
  </si>
  <si>
    <t>Please remove BAC ID: BAC0000ED1, BAM ID: BAM0000695 and GSMA code: S1F that belong to the account SNI Shared Comm Infra from the pool GCS - N&amp;E - GSNI, DC LAN, REDDI, USA (GCSNNWCUS-Network)</t>
  </si>
  <si>
    <t>PLATFORM TOOLS - BASIC DETAILS 1) SHORT DESCRIPTION: Please remove BAC ID: BAC0000ED1, BAM ID: BAM0000695 and GSMA code: S1F that belong to the account SNI Shared Comm Infra from the pool GCS - N&amp;E - GSNI, DC LAN, REDDI, USA (GCSNNWCUS-Network) 2) DESCRIPTION OF REQUEST: Please remove BAC ID: BAC0000ED1, BAM ID: BAM0000695 and GSMA code: S1F that belong to the account SNI Shared Comm Infra from the pool GCS - N&amp;E - GSNI, DC LAN, REDDI, USA (GCSNNWCUS-Network) 3) CAPABILITY/TOOL: Integrated AIOps (AIOPS) 4) KYNDRYL BRIDGE CUSTOMER FOR AIOPS LOOKUP (IF KNOWN): REDDI - rdd (BAC00036FB-US) es.was1 5) ORG MARKET: USA 6) ADDITIONAL DETAILS: 7) NOTIFY: 8) ATTACHMENTS (EVIDENCE, SCREENSHOTS, LOGS,ETC): DPE Approval for BAC, BAM and GSMA code removal.pdf PLATFORM TOOLS - INTEGRATED AIOPS (AIOPS) DETAILS 1) AIOPS LOCATION: Integrated AIOPs - NA 2) AIOPS INSTANCE: Americas 3) TYPE OF REQUEST: AIOPS - OU Update</t>
  </si>
  <si>
    <t>AIOps ThreatCon Insight Dashboard Outdated</t>
  </si>
  <si>
    <t>PLATFORM TOOLS - BASIC DETAILS 1) CAPABILITY/TOOL: Integrated AIOps (AIOPS) 2) SHORT DESCRIPTION: AIOps ThreatCon Insight Dashboard Outdated 3) DESCRIPTION OF ISSUE: The ThreatCon Insights dashboard in AIOps is currently out of date and has not displayed any updates since JULY 1ST. As a result, the dashboard has gone 14 DAYS WITHOUT BEING REFRESHED, despite the fact that SEVEN NEW THREATCON ALERTS HAVE BEEN ISSUED DURING THIS PERIOD. This dashboard serves as the primary source of information used during meetings with Account Leads and account administrators to review threat exposure and required actions for all accounts in Mexico. Given that the data is no longer current, the information presented cannot be considered reliable, which creates a risk of incomplete situational awareness and could impact decision-making and prioritization efforts. We would appreciate an urgent review of this issue and the restoration of regular updates to ensure the dashboard remains an accurate and trusted source for ThreatCon reporting and customer discussions. 4) KYNDRYL BRIDGE CUSTOMER FOR AIOPS LOOKUP (IF KNOWN): SDC Mexico Infrastructure. - sd2 (BAC00039C0-MX) es.was1 5) ORG MARKET: Strategic Markets 6) WATCH LIST: REYNAGA JACQUELINA ANGELICA, Morales Fernando Adrian 7) REPORTED PRIORITY: P2 - High (Sev2) 8) ADDITIONAL DETAILS: I was unable to locate the THREATCON INSIGHTS path among the available options, so I added it manually to ensure the request was submitted correctly. Additionally, I have attached an image showing the THREATCON INSIGHTS PATH for reference and validation Home / Header / Insight / Dashboards / Transformation Management / Threatcon Insight This issue is affecting ALL ACCOUNTS ACROSS MEXICO. Since there was no option available to select all impacted accounts, I selected SDC MEXICO for ticket submission purposes. However, the reported issue should be treated as a GLOBAL IMPACT ACROSS THE MEXICO PORTFOLIO, as the problem is not limited to a single account. 9) ATTACHMENTS (EVIDENCE, SCREENSHOTS, LOGS,ETC): Threatcon insight path.png, Threatcon insight.png PLATFORM TOOLS - INTEGRATED AIOPS (AIOPS) DETAILS 1) AIOPS LOCATION: Integrated AIOPs - Global 2) AIOPS INSTANCE: Global 3) AIOPS DATA PLANE: Home / Header / Insight / Dashboards / Transformation Management / Threatcon Insight 4) WHERE ON THE WEB PAGE IS THE ISSUE LOCATED?: Home &gt; Header &gt; Insights &gt; Dashboards 5) WHAT SUBCATEGORY OF THE LOCATION IS THE ISSUE RELATED TO?: Dashboard 6) URL OF THE WEB PAGE DISPLAYING THE ISSUE: https://www.kyndryl.com/bridge/aiops/insights/dashboard/0f1aeb5f-f800-44d1-9c07-328cfb2ae61f/ 7) WHAT IS THE ISSUE?: Missing data</t>
  </si>
  <si>
    <t>MBO metrics not recorded</t>
  </si>
  <si>
    <t>PLATFORM TOOLS - BASIC DETAILS 1) CAPABILITY/TOOL: Integrated AIOps (AIOPS) 2) SHORT DESCRIPTION: MBO metrics not recorded 3) DESCRIPTION OF ISSUE: MBO metrics not recorded in the Transformation scorecard dashboard in AIOPs. Since May/2026 all metrics are wrongly shown as 0% (see attached screenshot for reference). BACID: BAC000104B GSMA code: dow 4) KYNDRYL BRIDGE CUSTOMER FOR AIOPS LOOKUP (IF KNOWN): Dow Inc - dow (BAC000104B-US) es.was1 5) ORG MARKET: US Shared 6) WATCH LIST: Anderson Nicodemo Caio 7) REPORTED PRIORITY: P3 - Medium (Sev3) 8) ADDITIONAL DETAILS: 9) ATTACHMENTS (EVIDENCE, SCREENSHOTS, LOGS,ETC): Screenshot 2026-07-15 at 5.22.06â€¯PM.png PLATFORM TOOLS - INTEGRATED AIOPS (AIOPS) DETAILS 1) AIOPS LOCATION: Integrated AIOPs - NA 2) AIOPS INSTANCE: Americas 3) AIOPS DATA PLANE: 4) WHERE ON THE WEB PAGE IS THE ISSUE LOCATED?: Home &gt; Header &gt; Insights &gt; Dashboards 5) WHAT SUBCATEGORY OF THE LOCATION IS THE ISSUE RELATED TO?: Transformation Scorecard 6) URL OF THE WEB PAGE DISPLAYING THE ISSUE: https://www.kyndryl.com/bridge/aiops/insights/dashboard/c274c64e-543e-47b9-b681-1a442002f9f8/ 7) WHAT IS THE ISSUE?: Incorrect data</t>
  </si>
  <si>
    <t>VMI dashboard and Aged Open Vulnerabilities issue</t>
  </si>
  <si>
    <t>PLATFORM TOOLS - BASIC DETAILS 1) CAPABILITY/TOOL: Integrated AIOps (AIOPS) 2) SHORT DESCRIPTION: VMI dashboard and Aged Open Vulnerabilities issue 3) DESCRIPTION OF ISSUE: Are accounts on WAS1 having issues with VMI? Checking across multiple mainframe-only accounts here's what I have experienced in the last 24 hours: Yesterday - Aged Open Vulnerabilities widget on F1 showed 0%, even though VMI showed hundreds of vulnerabilities &gt;91 days. Today - Aged Open Vulnerabilities widget shows the correct percentage on the F1, but VMI is missing all the data! See the attached screenshots. Accounts in other data planes (ACME, EU1) appear to be working ok. I reproduced the issue with both Edge and Firefox. 4) KYNDRYL BRIDGE CUSTOMER FOR AIOPS LOOKUP (IF KNOWN): Meijer - mjr (BAC0002E92-US) es.was1 5) ORG MARKET: US Shared 6) WATCH LIST: 7) REPORTED PRIORITY: P3 - Medium (Sev3) 8) ADDITIONAL DETAILS: 9) ATTACHMENTS (EVIDENCE, SCREENSHOTS, LOGS,ETC): Screenshot 2026-07-15 at 7.17.54â€¯AM.png, Screenshot 2026-07-15 at 7.31.59â€¯AM.png PLATFORM TOOLS - INTEGRATED AIOPS (AIOPS) DETAILS 1) AIOPS LOCATION: Integrated AIOPs - NA 2) AIOPS INSTANCE: Americas 3) AIOPS DATA PLANE: 4) WHERE ON THE WEB PAGE IS THE ISSUE LOCATED?: Home &gt; Header &gt; Insights &gt; Dashboards 5) WHAT SUBCATEGORY OF THE LOCATION IS THE ISSUE RELATED TO?: Security Patch Management 6) URL OF THE WEB PAGE DISPLAYING THE ISSUE: https://www.kyndryl.com/bridge/aiops/insights/dashboard/es.was1.4c331883-6d59-4054-99bc-5f4e440a9a5e 7) WHAT IS THE ISSUE?: Missing data</t>
  </si>
  <si>
    <t>Am the Wawa DPE ( merwin.kumar.g@kyndryl.com) and need access to upload BYOD to AIops Wawa Inc instance</t>
  </si>
  <si>
    <t>PLATFORM TOOLS - BASIC DETAILS 1) SHORT DESCRIPTION: Am the Wawa DPE ( merwin.kumar.g@kyndryl.com) and need access to upload BYOD to AIops Wawa Inc instance 2) DESCRIPTION OF REQUEST: Am the Wawa DPE ( merwin.kumar.g@kyndryl.com) and need access to upload BYOD to AIops Wawa Inc instance 3) CAPABILITY/TOOL: Integrated AIOps (AIOPS) 4) KYNDRYL BRIDGE CUSTOMER FOR AIOPS LOOKUP (IF KNOWN): Wawa Inc - awu, wa2 (BAC00029C1-US) es.was1 5) ORG MARKET: USA 6) ADDITIONAL DETAILS: 7) NOTIFY: PLATFORM TOOLS - INTEGRATED AIOPS (AIOPS) DETAILS 1) AIOPS LOCATION: Integrated AIOPs - NA 2) AIOPS INSTANCE: Americas 3) TYPE OF REQUEST: AIOPS - BYOD</t>
  </si>
  <si>
    <t>Incident Dashboard Not Displaying Current Assignment Group for Some Tickets</t>
  </si>
  <si>
    <t>PLATFORM TOOLS - BASIC DETAILS 1) CAPABILITY/TOOL: Integrated AIOps (AIOPS) 2) SHORT DESCRIPTION: Incident Dashboard Not Displaying Current Assignment Group for Some Tickets 3) DESCRIPTION OF ISSUE: We are frequently finding cases where the Incident Dashboard's tickets are not current with respect to assignment group. There is a workaround to resolve, which is the perform an ad-hoc sync of the ticket, which updates the data lake from the ServiceNow extension. I'm opening this ticket as I believe there is a problem with the date/time precision which may be causing our Incident Dashboard to be out of sync. The in the specific case for INC1672504 we have this detail: Incident Dashboard shows assignment SNW-LAN Ops Support-IGS. (an In-Scope queue) ServiceNow for INC1672504: Assignment Group: SNW-Operations Research-TS - Operations Research Time Change: 2026-07-01 13:53:28 CT NOTE: Previous Assignment group change: Assignment Group: SNW-LAN Ops Support-IGS Time Change: 2026-07-01 13:52:56 CT Incoming Ticket Data for INC1672504 shows correct: queue_id: SNW-Operations Research-TS - Operations Research modify_dttm: Jul 1, 2026 @ 14:53:28.000. (ET as from my browser, matches 13:53:28 CT) Processed Ticket Data for INC1672504 shows INCORRECT: queue_id: SNW-LAN Ops Support-IGS modify_dttm: 2026-07-01T18:53:15.000Z. (note this date would have pulled the data from source, which is before the update at 53:28, so, the Processed Ticket Data is not current) 4) KYNDRYL BRIDGE CUSTOMER FOR AIOPS LOOKUP (IF KNOWN): BNSF Railway Company - bnf, bsf (BAC0000FC2) es.was1 5) ORG MARKET: USA 6) WATCH LIST: JAYARAMAN KARTHICK 7) REPORTED PRIORITY: P4 - Low (Sev4) 8) ADDITIONAL DETAILS: See attached docs 9) ATTACHMENTS (EVIDENCE, SCREENSHOTS, LOGS,ETC): INC1672504 Processed Incident Ticket Data.docx, INC1672504 Incoming Ticket Data.docx, Incident Dashboard is Out of Sync on some Incidents.docx PLATFORM TOOLS - INTEGRATED AIOPS (AIOPS) DETAILS 1) AIOPS LOCATION: Integrated AIOPs - NA 2) AIOPS INSTANCE: Americas 3) AIOPS DATA PLANE: es.was1 4) WHERE ON THE WEB PAGE IS THE ISSUE LOCATED?: Home &gt; Side bar 5) WHAT SUBCATEGORY OF THE LOCATION IS THE ISSUE RELATED TO?: Dashboard 6) URL OF THE WEB PAGE DISPLAYING THE ISSUE: https://www.kyndryl.com/bridge/aiops/home/IncidentDashboard 7) WHAT IS THE ISSUE?: Incorrect data</t>
  </si>
  <si>
    <t>There is no incident data.</t>
  </si>
  <si>
    <t>PLATFORM TOOLS - BASIC DETAILS 1) CAPABILITY/TOOL: Integrated AIOps (AIOPS) 2) SHORT DESCRIPTION: There is no incident data. 3) DESCRIPTION OF ISSUE: Hi team, There has been no incident data available in Bridge for any of the Gerdau accounts since JULY 13. This issue is directly impacting our day-to-day operations. The problem is affecting all three Gerdau accounts: * GERDAU (GER) â€“ GB302B9D / DB502JSB * GERDAU UNIDADES REMOTAS (GUR) â€“ GB302B9D / DB502JSB * GERDAU US (GLN/GNA) â€“ GB302B9D / DB502JSB Could you please investigate the root cause and provide an estimated timeline for resolution? Thank you! 4) KYNDRYL BRIDGE CUSTOMER FOR AIOPS LOOKUP (IF KNOWN): Gerdau - ger (BAC0000576-BR) es.was1 5) ORG MARKET: Strategic Markets 6) WATCH LIST: Lourenco Glauce Kelly 7) REPORTED PRIORITY: P3 - Medium (Sev3) 8) ADDITIONAL DETAILS: Hi team, There has been no incident data available in Bridge for any of the Gerdau accounts since JULY 13. This issue is directly impacting our day-to-day operations. The problem is affecting all three Gerdau accounts: * GERDAU (GER) â€“ GB302B9D / DB502JSB * GERDAU UNIDADES REMOTAS (GUR) â€“ GB302B9D / DB502JSB * GERDAU US (GLN/GNA) â€“ GB302B9D / DB502JSB Could you please investigate the root cause and provide an estimated timeline for resolution? Thank you! 9) ATTACHMENTS (EVIDENCE, SCREENSHOTS, LOGS,ETC): imagem.png, imagem (1).png, imagem (2).png PLATFORM TOOLS - INTEGRATED AIOPS (AIOPS) DETAILS 1) AIOPS LOCATION: Integrated AIOPs - NA 2) AIOPS INSTANCE: Americas 3) AIOPS DATA PLANE: 4) WHERE ON THE WEB PAGE IS THE ISSUE LOCATED?: Home &gt; Header &gt; Home 5) WHAT SUBCATEGORY OF THE LOCATION IS THE ISSUE RELATED TO?: Dashboard 6) URL OF THE WEB PAGE DISPLAYING THE ISSUE: 7) WHAT IS THE ISSUE?: Missing data</t>
  </si>
  <si>
    <t>Need EU Kibana Read Access for Self Service activities.</t>
  </si>
  <si>
    <t>PLATFORM TOOLS - BASIC DETAILS 1) SHORT DESCRIPTION: Need EU Kibana Read Access for Self Service activities. 2) DESCRIPTION OF REQUEST: Hello Team, Need EU Prod Kibana Read Access for Self Service activities. Please provide the access. Thank you 3) CAPABILITY/TOOL: Integrated AIOps (AIOPS) 4) KYNDRYL BRIDGE CUSTOMER FOR AIOPS LOOKUP (IF KNOWN): WPP Group plc - wpp (BAC0002444-GB) es.ams1 5) ORG MARKET: UKI 6) ADDITIONAL DETAILS: 7) NOTIFY: PLATFORM TOOLS - INTEGRATED AIOPS (AIOPS) DETAILS 1) AIOPS LOCATION: Integrated AIOPs - EU 2) AIOPS INSTANCE: Europe 3) TYPE OF REQUEST: AIOPS - General Request</t>
  </si>
  <si>
    <t>Need EU Kibana Access for Self Service activities. Please provide the access. Thank you</t>
  </si>
  <si>
    <t>PLATFORM TOOLS - BASIC DETAILS 1) SHORT DESCRIPTION: Need EU Kibana Access for Self Service activities. Please provide the access. Thank you 2) DESCRIPTION OF REQUEST: Need EU Kibana Access for Self Service activities. Please provide the access. Thank you 3) CAPABILITY/TOOL: Integrated AIOps (AIOPS) 4) KYNDRYL BRIDGE CUSTOMER FOR AIOPS LOOKUP (IF KNOWN): WPP Group plc - wpp (BAC0002444-GB) es.ams1 5) ORG MARKET: UKI 6) ADDITIONAL DETAILS: Need EU Kibana Access for Self Service activities. Please provide the access. Thank you 7) NOTIFY: PLATFORM TOOLS - INTEGRATED AIOPS (AIOPS) DETAILS 1) AIOPS LOCATION: Integrated AIOPs - EU 2) AIOPS INSTANCE: Europe 3) TYPE OF REQUEST: AIOPS - General Request</t>
  </si>
  <si>
    <t>US Shared Mainframe Data not showing up from ApexaIQ into AIOPS-VMI - All Accounts with Mainframe</t>
  </si>
  <si>
    <t>PLATFORM TOOLS - BASIC DETAILS 1) CAPABILITY/TOOL: Integrated AIOps (AIOPS) 2) SHORT DESCRIPTION: US Shared Mainframe Data not showing up from ApexaIQ into AIOPS-VMI - All Accounts with Mainframe 3) DESCRIPTION OF ISSUE: There was an issue yesterday where ApexaIQ was missing Mainframe SIA data. It was showing up under No Longer Discovered. Ticket 11234900 was opened and the vendor Apexa was engaged to resolve. Today Mainframe accounts are showing 0 for mainframe vulnerabilities on the US Shared AIOPS-VMI instance. Screenshots have been provided to Eva. 4) KYNDRYL BRIDGE CUSTOMER FOR AIOPS LOOKUP (IF KNOWN): Caterpillar Inc. - ctr (BAC0000E8C-US) es.was1 5) ORG MARKET: USA 6) WATCH LIST: 7) REPORTED PRIORITY: P1 - Critical (Sev1) 8) ADDITIONAL DETAILS: This is impacting all accounts with mainframe data on US AIOPS Shared VMI. I did not see an option for multiple in the drop down. Screenshots have been shared with Eva Cernachova who has shared with support. PLATFORM TOOLS - INTEGRATED AIOPS (AIOPS) DETAILS 1) AIOPS LOCATION: Integrated AIOPs - NA 2) AIOPS INSTANCE: Americas 3) AIOPS DATA PLANE: https://www.kyndryl.com/bridge/aiops/insights/dashboard/4c331883-6d59-4054-99bc-5f4e440a9a5e/ 4) WHERE ON THE WEB PAGE IS THE ISSUE LOCATED?: Home &gt; Header &gt; Insights &gt; Dashboards 5) WHAT SUBCATEGORY OF THE LOCATION IS THE ISSUE RELATED TO?: Dashboard 6) URL OF THE WEB PAGE DISPLAYING THE ISSUE: https://www.kyndryl.com/bridge/aiops/insights/dashboard/4c331883-6d59-4054-99bc-5f4e440a9a5e/ 7) WHAT IS THE ISSUE?: Missing data</t>
  </si>
  <si>
    <t>PLATFORM TOOLS - BASIC DETAILS 1) CAPABILITY/TOOL: Integrated AIOps (AIOPS) 2) SHORT DESCRIPTION: Valmet (MEA) - Missing backup information in IBM i - WWTS Backup Report Status 3) DESCRIPTION OF ISSUE: Customer: Valmet (Metso) System M3BAK Issue: Data are collected on the server as they should be but they are not visible in AIOps which indicates problem between HUB and AIOps. Data are on EMIBM040 hub. 4) KYNDRYL BRIDGE CUSTOMER FOR AIOPS LOOKUP (IF KNOWN): Metso Automation - mea (BAC0000A32-FI) es.ams1 5) ORG MARKET: Strategic Markets 6) WATCH LIST: 7) REPORTED PRIORITY: P4 - Low (Sev4) 8) ADDITIONAL DETAILS: 9) ATTACHMENTS (EVIDENCE, SCREENSHOTS, LOGS,ETC): image (13).png PLATFORM TOOLS - INTEGRATED AIOPS (AIOPS) DETAILS 1) AIOPS LOCATION: Integrated AIOPs - EU 2) AIOPS INSTANCE: Europe 3) AIOPS DATA PLANE: 4) WHERE ON THE WEB PAGE IS THE ISSUE LOCATED?: Home &gt; Header &gt; Insights &gt; Dashboards 5) WHAT SUBCATEGORY OF THE LOCATION IS THE ISSUE RELATED TO?: Failed Backups 6) URL OF THE WEB PAGE DISPLAYING THE ISSUE: insight - &gt; Dashboards -&gt; Mainframe Management -&gt; IBM i - WWTS Backup Report Status 7) WHAT IS THE ISSUE?: Missing data</t>
  </si>
  <si>
    <t>oe1#ciq-sub-pri-veeam-inv#P-260730616-Deployment is stuck and therefore is no longer progressing.</t>
  </si>
  <si>
    <t>Business Service: Integrated AIOps (AIOPS) Capability Tool: Integrated AIOPs - EU -------------------------------------------- FirstOccurrence: 2026-07-15 11:37:20 Summary: P-260730616-Deployment is stuck and therefore is no longer progressing. Severity: Major ResourceId: ciq-sub-pri-veeam-inv ServerSerial: 10499549 ServerName: NCO_PRI CustomerCode: oe1 InstanceSituation: Deployment stuck URL: https://arg88263.live.dynatrace.com/#problems/problemdetails;pid=-882369767589820694_1784115240000V2 NodeAlias: {Tags[IP]} ComponentType: {Tags[OS]} OSType: AlertKey: Deployment stuck TicketGroup: K-PLTools-AIOPs-EU-Delivery-Support</t>
  </si>
  <si>
    <t>Request to Change Approver Permissions for ARMS (OU Type: country)</t>
  </si>
  <si>
    <t>PLATFORM TOOLS - BASIC DETAILS 1) SHORT DESCRIPTION: Request to Change Approver Permissions for ARMS (OU Type: country) 2) DESCRIPTION OF REQUEST: *This request is not for a specific account. As Umemura-san is taking over the role previously held by Hayafune-san, we would like to change the approver for the following access group. Please change the approver. -Target Access Group: OU Type: country, OUs: Japan, Access Groups: bundle-security-and-compliance-management -Current Approver: Yuki.Hayafune@kyndryl.com -New Approver: Eisuke.Umemura@kyndryl.com 3) CAPABILITY/TOOL: Integrated AIOps (AIOPS) 4) KYNDRYL BRIDGE CUSTOMER FOR AIOPS LOOKUP (IF KNOWN): Kyndryl I-AIOps Japan - xx2 (BAC00039DD-JP) es.jpn1 5) ORG MARKET: Japan 6) ADDITIONAL DETAILS: I attached approval for this change. 7) NOTIFY: FUKUDA TETSUYA, Lu Shiyuan, Yamaguchi Teppei 8) ATTACHMENTS (EVIDENCE, SCREENSHOTS, LOGS,ETC): Approval_bundle-security-and-compliance-management.pdf PLATFORM TOOLS - INTEGRATED AIOPS (AIOPS) DETAILS 1) AIOPS LOCATION: Integrated AIOPs - JP 2) AIOPS INSTANCE: Japan 3) TYPE OF REQUEST: AIOPS - ARMS</t>
  </si>
  <si>
    <t>Global Internal Accounts Exemption Request (TIP Dashboard)</t>
  </si>
  <si>
    <t>Hi Please Exempt all the following accounts from TIP Dashboard (Approvals enclosed) ORG MARKET COUNTRY ACCOUNT NAME OU ID TENANT ID Global Internal Global Internal Global Internal - Test Mainframe Global Service Engineering 3f3a50caa536.1 BAC000382D-US Global Internal Global Internal Shared Private Cloud Hub (EADS) 2b5eab5649c4.1 BAC0000EBC-US Global Internal Global Internal SMI Canada 281bd56fe349.1 BAC0003003-CA Global Internal Global Internal Global Internal- Centricity Shared Belgium 588ccd37370e.1 BAC0003817-BE Global Internal Global Internal Global Internal - ADAI Managed Apps - Internal Test Account (SDM) 9d572f2f99ab.1 BAC000264B-US Global Internal Global Internal Global Internal - CIO - Network Services Platform and Tools ec162df26e84.1 BAC00038D9-US Global Internal Global Internal Global Internal - CIO - Kyndryl Network Services cdf660b0d7f4.1 BAC00039F0-US Global Internal Global Internal Global Internal - NL Kyndryl Bridge Demo Account d7a91a13500e.1 BAC7209010-NL Global Internal Global Internal Global Internal- Kyndryl Collaborative servers 9dd0075606f2.1 BAC030C010-IN Global Internal Global Internal Global Internal - US Kyndryl Bridge Demo Account 6c3b96e90250.1 BAC740B010-US Global Internal Global Internal Global Internal - ADAI Managed Apps - KYNDRYL CIO - Finance 8230263a452b.1 BAC9109010-US Global Internal Global Internal Global Internal - Japan Kyndryl Bridge Demo Account 9626543b7964.1 BAC00039DD-JP</t>
  </si>
  <si>
    <t>Extension creation Error in prod account</t>
  </si>
  <si>
    <t>Assigned to - Assignment Group</t>
  </si>
  <si>
    <t>Assigned to - Assigned To</t>
  </si>
  <si>
    <t>Problems - Opening date</t>
  </si>
  <si>
    <t>Syeda Nasreen</t>
  </si>
  <si>
    <t>Vattikuti Ramya</t>
  </si>
  <si>
    <t>Kathyayini Kamath</t>
  </si>
  <si>
    <t>Theodoros Gkekas</t>
  </si>
  <si>
    <t>Giorgio Parolini</t>
  </si>
  <si>
    <t>Shreyani Ginna</t>
  </si>
  <si>
    <t>Abhishek Choudhary</t>
  </si>
  <si>
    <t>Kinga Kirner</t>
  </si>
  <si>
    <t>Ajay Chriscoe</t>
  </si>
  <si>
    <t>SUNDARESH SHANKAR</t>
  </si>
  <si>
    <t>Ravi Vadapally</t>
  </si>
  <si>
    <t>Kavya Sanam</t>
  </si>
  <si>
    <t>Sneha .</t>
  </si>
  <si>
    <t>DEEPA K</t>
  </si>
  <si>
    <t>Mounika Reddy Vemula</t>
  </si>
  <si>
    <t>SHOKO MURAYAMA</t>
  </si>
  <si>
    <t>SRINIVASA YALAMARTI</t>
  </si>
  <si>
    <t>PL_TOOLS Integration ** PL_TOOLS MNE - Netcool integration**</t>
  </si>
  <si>
    <t>RadomÃ­r Kuna</t>
  </si>
  <si>
    <t>Luciano Magnavacchi</t>
  </si>
  <si>
    <t>Suresh Bind</t>
  </si>
  <si>
    <t>SREENIVAS CHETTIAR</t>
  </si>
  <si>
    <t>Bruno Diego da Silva</t>
  </si>
  <si>
    <t>Marta TerjÃ©k</t>
  </si>
  <si>
    <t>Praveen Dudam</t>
  </si>
  <si>
    <t>Mauricio Campanaro Ferreira</t>
  </si>
  <si>
    <t>Daniel Storti Clementino Barbosa</t>
  </si>
  <si>
    <t>EULOGIO FABIAN OCURA</t>
  </si>
  <si>
    <t>LukÃ¡Å¡ PernickÃ½</t>
  </si>
  <si>
    <t>Hanmaji Namuthabad</t>
  </si>
  <si>
    <t>PUTTA SANJANA</t>
  </si>
  <si>
    <t>Arun Gopan</t>
  </si>
  <si>
    <t>Parashuram Nikam</t>
  </si>
  <si>
    <t>Siva Muthyala</t>
  </si>
  <si>
    <t>Varshaswi Bashaboina</t>
  </si>
  <si>
    <t>Dharm Gupta</t>
  </si>
  <si>
    <t>ATUL GULATI</t>
  </si>
  <si>
    <t>Akihisa Hatta</t>
  </si>
  <si>
    <t>Nazeefa Rajakumar Patil</t>
  </si>
  <si>
    <t>Trupti Uday Devadiga</t>
  </si>
  <si>
    <t>Jurgen Prudencio</t>
  </si>
  <si>
    <t>Jagadeesh Ponnaganti</t>
  </si>
  <si>
    <t>Michael Huamancaja</t>
  </si>
  <si>
    <t>Ricardo Hortencio</t>
  </si>
  <si>
    <t>Will Mansell</t>
  </si>
  <si>
    <t>Ashok Jaggavarapu</t>
  </si>
  <si>
    <t>NOORUDDIN MOHD</t>
  </si>
  <si>
    <t>Pete Gegen</t>
  </si>
  <si>
    <t>Sneha S</t>
  </si>
  <si>
    <t>Iezo Alceu Tafarelo</t>
  </si>
  <si>
    <t>Susana Vieira Da Silva</t>
  </si>
  <si>
    <t>Kannan Ramanan</t>
  </si>
  <si>
    <t>Merwin Kumar G</t>
  </si>
  <si>
    <t>Mateusz Lechowicz</t>
  </si>
  <si>
    <t>NITIK KUMAR</t>
  </si>
  <si>
    <t>Wilson Yanez Barcia</t>
  </si>
  <si>
    <t>SHINE M N</t>
  </si>
  <si>
    <t>Luciano Augusto das Chagas Vecchia</t>
  </si>
  <si>
    <t>Steve Burkhalter</t>
  </si>
  <si>
    <t>GÃ¡bor Szabolcs NÃ©meth</t>
  </si>
  <si>
    <t>NAGENDRA BABU KUCHIMANCHI</t>
  </si>
  <si>
    <t>Piotr KoÅºmin</t>
  </si>
  <si>
    <t>THARUNA MADDIPUDI</t>
  </si>
  <si>
    <t>Martin SurÃ½</t>
  </si>
  <si>
    <t>Ranjith Goud Boddu</t>
  </si>
  <si>
    <t>Kuddala Sabitha</t>
  </si>
  <si>
    <t>Debbie Wertz</t>
  </si>
  <si>
    <t>Sayed Ibrahim Inamdar</t>
  </si>
  <si>
    <t>MARIA TERESA INACIO</t>
  </si>
  <si>
    <t>Syeda Raffathunnisa</t>
  </si>
  <si>
    <t>Santiago Gamboa</t>
  </si>
  <si>
    <t>Ismael Fernandez</t>
  </si>
  <si>
    <t>Monica Spagnol Bertini</t>
  </si>
  <si>
    <t>Shakeel Danish</t>
  </si>
  <si>
    <t>Thalla Bhargavi</t>
  </si>
  <si>
    <t>Thirumurugan Mayandi</t>
  </si>
  <si>
    <t>Joan Manuel Boulangger</t>
  </si>
  <si>
    <t>David Daniel Cazo Quispe</t>
  </si>
  <si>
    <t>Anand Neelakantan</t>
  </si>
  <si>
    <t>Isaac Injeti</t>
  </si>
  <si>
    <t>Alexsandra P Jesus</t>
  </si>
  <si>
    <t>Vivien Lee</t>
  </si>
  <si>
    <t>Komal Rahim</t>
  </si>
  <si>
    <t>Kimberly Pruett</t>
  </si>
  <si>
    <t>Ricardo Tozelli Nolli</t>
  </si>
  <si>
    <t>Adam RzÄ…sa</t>
  </si>
  <si>
    <t>Shivakumar N</t>
  </si>
  <si>
    <t>Filippo Tramonto</t>
  </si>
  <si>
    <t>Preethu S R</t>
  </si>
  <si>
    <t>Eva KlusoÅˆovÃ¡</t>
  </si>
  <si>
    <t>Bipin Varghese</t>
  </si>
  <si>
    <t>Diego Picho</t>
  </si>
  <si>
    <t>Freddy Alexander Cruz Martinez</t>
  </si>
  <si>
    <t>Rupal Chauhan</t>
  </si>
  <si>
    <t>Tatiana Colorado</t>
  </si>
  <si>
    <t>Hem Chander</t>
  </si>
  <si>
    <t>Luis Marcelo Lopez Chavarrea</t>
  </si>
  <si>
    <t>EDUARDO AZEVEDO</t>
  </si>
  <si>
    <t>PAPPU SINGH</t>
  </si>
  <si>
    <t>Shawn Hesson</t>
  </si>
  <si>
    <t>Sreedhar Kanithi</t>
  </si>
  <si>
    <t>Mohammad Kutaish</t>
  </si>
  <si>
    <t>Suresh Gangatharan</t>
  </si>
  <si>
    <t>Katarzyna Struzik</t>
  </si>
  <si>
    <t>Rajesh Shah</t>
  </si>
  <si>
    <t>Mismatch in EOS/EOL Asset Count for Network</t>
  </si>
  <si>
    <t>The number of assets displayed in the NETWORK section of Inventory Service does not match the count shown on the EOS/EOL dashboard. For the Operating System, Storage, LPAR, and Server sections, the values match correctly. The current numbers are: * Operating System: 2368 * Network: 2109 (the actual value in Inventory Service is 1106) * Server: 784 * Subsystem: 652 * Storage: 45 * LPAR: 7 GSMA_CODE: MIP ACCOUNT: Mibanco Peru</t>
  </si>
  <si>
    <t>TataSteel:- Items could not be moved to "Tickets Out Of Scope" in the Resolver Group configuration</t>
  </si>
  <si>
    <t>KARTHIKEYAN P</t>
  </si>
  <si>
    <t>PLATFORM TOOLS - BASIC DETAILS 1) CAPABILITY/TOOL: Integrated AIOps (AIOPS) 2) SHORT DESCRIPTION: TataSteel:- Items could not be moved to "Tickets Out Of Scope" in the Resolver Group configuration 3) DESCRIPTION OF ISSUE: ISSUE: THE FOLLOWING ITEMS COULD NOT BE MOVED TO "TICKETS OUT OF SCOPE" IN THE RESOLVER GROUP CONFIGURATION * LD #1 Level 1 * LD#2 Caster Level 1 * HSM CP#4 Level 1 NBM Mill &amp; Furnace #2 Level 1ta 4) KYNDRYL BRIDGE CUSTOMER FOR AIOPS LOOKUP (IF KNOWN): Tata Steel - t2a (BAC0002AC8-IN) es.che1 5) ORG MARKET: India 6) WATCH LIST: K DEEPA, Danish Shakeel 7) REPORTED PRIORITY: P3 - Medium (Sev3) 8) ADDITIONAL DETAILS: PLATFORM TOOLS - INTEGRATED AIOPS (AIOPS) DETAILS 1) AIOPS LOCATION: Integrated AIOPs - IN 2) AIOPS INSTANCE: India 3) AIOPS DATA PLANE: 4) WHERE ON THE WEB PAGE IS THE ISSUE LOCATED?: Home &gt; Side bar 5) WHAT SUBCATEGORY OF THE LOCATION IS THE ISSUE RELATED TO?: home &gt; side_bar &gt; Admin &gt; Resolver Group 6) URL OF THE WEB PAGE DISPLAYING THE ISSUE: https://www.kyndryl.com/bridge/aiops/home/resolver-group 7) WHAT IS THE ISSUE?: Component failure</t>
  </si>
  <si>
    <t>OndÅ™ej CÃ­cha</t>
  </si>
  <si>
    <t>Coe Onboarding : Staging gdp authentication Fix</t>
  </si>
  <si>
    <t>Waqeel Hasan Khan</t>
  </si>
  <si>
    <t>PLATFORM TOOLS - BASIC DETAILS 1) SHORT DESCRIPTION: Coe Onboarding : Staging gdp authentication Fix 2) DESCRIPTION OF REQUEST: Coe-onboarding staging gdp pipeline is failing because of authentication issue (401) , seems credential stored in the vault got expired for user - task_load_aiops. Please update the credential. gdp_extelastic_url: VAULT:/dx-platform-delivery/${ENVIRONMENT}/iaiops-gdp/${REGION}/elastic/elastic.url gdp_ext_esadmin_ipaddress: VAULT:/dx-platform-delivery/${ENVIRONMENT}/iaiops-gdp/${REGION}/elastic/gdpextelastic_ipaddress gdp_ext_esHostUrl: VAULT:/dx-platform-delivery/${ENVIRONMENT}/iaiops-gdp/${REGION}/elastic/gdpextelastic_HostUrl 3) CAPABILITY/TOOL: Integrated AIOps (AIOPS) 4) KYNDRYL BRIDGE CUSTOMER FOR AIOPS LOOKUP (IF KNOWN): ADAI Managed Apps - American Airlines CCS - AAOT - a21 (BAM0003598-US) es.was1 5) ORG MARKET: US Shared 6) ADDITIONAL DETAILS: 7) NOTIFY: PLATFORM TOOLS - INTEGRATED AIOPS (AIOPS) DETAILS 1) AIOPS LOCATION: Integrated AIOPs - NA 2) AIOPS INSTANCE: Americas 3) TYPE OF REQUEST: AIOPS - General Request</t>
  </si>
  <si>
    <t>Device Health Observability â€“ Events vs Anomalies Chart Displaying Incorrect Data</t>
  </si>
  <si>
    <t>K-PLTools-AIOPs-ACME-Delivery-Support</t>
  </si>
  <si>
    <t>Deepika Boldara</t>
  </si>
  <si>
    <t>PLATFORM TOOLS - BASIC DETAILS 1) SHORT DESCRIPTION: Device Health Observability â€“ Events vs Anomalies Chart Displaying Incorrect Data 2) DESCRIPTION OF REQUEST: We have identified a data visualization issue in the DEVICE HEALTH OBSERVABILITY dashboard. ISSUE OBSERVED: * The EVENTS VS ANOMALIES chart is displaying incorrect values. * The graph shows a continuous linear decline across all event categories, which appears inconsistent with the actual event and anomaly patterns. * The chart visualization does not correlate with the observations panel displayed alongside the graph. * Data representation appears inaccurate and requires validation of the underlying calculations, aggregation logic, or data source feeding the dashboard. EXPECTED BEHAVIOR: * The Events vs Anomalies chart should accurately represent the event volume and anomaly counts based on the selected date range. * Values displayed should align with the underlying health events and anomaly records. * Visualization should reflect actual trends rather than an apparent uniform decline across all categories. BUSINESS IMPACT: * Incorrect dashboard data may lead to inaccurate analysis of device health events. * Operational teams may make incorrect decisions based on misleading observability insights. Reduces confidence in Device Health Observability reporting and anomaly detection. 3) CAPABILITY/TOOL: Integrated AIOps (AIOPS) 4) KYNDRYL BRIDGE CUSTOMER FOR AIOPS LOOKUP (IF KNOWN): International Traders ACME - ace (BAC000ACME) es.ams1 5) ADDITIONAL DETAILS: THE FILES ARE TOO BIG TO ATTACH PLEASE ASSIGN TO AP DELIVERY TEAM Dashboard: Device Health Observability Widget: EVENTS VS ANOMALIES TIME Range Selected: LAST 30 DAYSScreenshot attached showing the incorrect chart behavior. Requesting investigation of: * Data source validation * Aggregation and calculation logic * Visualization rendering Backend data refresh and ETL processing 6) NOTIFY: 7) ATTACHMENTS (EVIDENCE, SCREENSHOTS, LOGS,ETC): Screenshot 2026-07-08 131908.png PLATFORM TOOLS - INTEGRATED AIOPS (AIOPS) DETAILS 1) AIOPS LOCATION: Integrated AIOPs - AP 2) AIOPS INSTANCE: Asia Pacific 3) TYPE OF REQUEST: AIOPS - General Request</t>
  </si>
  <si>
    <t>[Update Request] DPE Permission Update in ARMS</t>
  </si>
  <si>
    <t>Jongmin Lee</t>
  </si>
  <si>
    <t>PLATFORM TOOLS - BASIC DETAILS 1) SHORT DESCRIPTION: [Update Request] DPE Permission Update in ARMS 2) DESCRIPTION OF REQUEST: Hi, Team. Although the DPE was changed last year, however, it appears that the ARMS permissions are still assigned to the previous DPE. Could you please update the DPE permissions in ARMS? OU NAME: Mitsubishi Motors Corporation - JP OU DESCRIPTION: 2d78c2ff2fae.1 CURRENT DPE: Nobuaki.Matsunami@kyndryl.com PREVIOUS DPE: yuji.koyama@kyndryl.com 3) CAPABILITY/TOOL: Integrated AIOps (AIOPS) 4) KYNDRYL BRIDGE CUSTOMER FOR AIOPS LOOKUP (IF KNOWN): Mitsubishi Motors Corporation - JP - mmo (BAC00005C9-JP) es.jpn1 5) ORG MARKET: Japan 6) ADDITIONAL DETAILS: 7) NOTIFY: PLATFORM TOOLS - INTEGRATED AIOPS (AIOPS) DETAILS 1) AIOPS LOCATION: Integrated AIOPs - ACME 2) TYPE OF REQUEST: AIOPS - ARMS</t>
  </si>
  <si>
    <t>(blank)</t>
  </si>
  <si>
    <t>NIBCO- Model number (Case Sensitive)</t>
  </si>
  <si>
    <t>Pullarao Kukkala</t>
  </si>
  <si>
    <t>PLATFORM TOOLS - BASIC DETAILS 1) CAPABILITY/TOOL: Integrated AIOps (AIOPS) 2) SHORT DESCRIPTION: NIBCO- Model number (Case Sensitive) 3) DESCRIPTION OF ISSUE: The customer is seeing below error. Model number needs to be changed to upper case. ERROR: Model does not belong to l-lic-ct5508-50a, expected L-LIC-CT5508-50A 4) KYNDRYL BRIDGE CUSTOMER FOR AIOPS LOOKUP (IF KNOWN): DWS-NIBCO INC - n5b (BAC0003A16-US) es.was1 5) ORG MARKET: US Shared 6) WATCH LIST: Gupta Dharm 7) REPORTED PRIORITY: P1 - Critical (Sev1) 8) ADDITIONAL DETAILS: PLATFORM TOOLS - INTEGRATED AIOPS (AIOPS) DETAILS 1) AIOPS LOCATION: Integrated AIOPs - NA 2) AIOPS INSTANCE: Americas 3) AIOPS DATA PLANE: 4) WHERE ON THE WEB PAGE IS THE ISSUE LOCATED?: Home &gt; Header &gt; Home 5) WHAT SUBCATEGORY OF THE LOCATION IS THE ISSUE RELATED TO?: Network 6) URL OF THE WEB PAGE DISPLAYING THE ISSUE: 7) WHAT IS THE ISSUE?: Configuration</t>
  </si>
  <si>
    <t>CCMM IAM Dashboard â€“ Shared ID Data Discrepancy (Hertz)</t>
  </si>
  <si>
    <t>Mohd Anwer Khan</t>
  </si>
  <si>
    <t>PLATFORM TOOLS - BASIC DETAILS 1) CAPABILITY/TOOL: Integrated AIOps (AIOPS) 2) SHORT DESCRIPTION: CCMM IAM Dashboard â€“ Shared ID Data Discrepancy (Hertz) 3) DESCRIPTION OF ISSUE: Inconsistent data is being displayed for Shared IDs in the Hertz account CCMM IAM Dashboard and related widgets. The Shared ID counts/details shown in CCMM do not match the expected data. Please investigate the data synchronization, calculation, and dashboard reporting for the Shared ID section. Screenshots and supporting evidence are attached. 4) KYNDRYL BRIDGE CUSTOMER FOR AIOPS LOOKUP (IF KNOWN): Hertz - hrz, her (BAC0000FD5-US) es.was1 5) ORG MARKET: US Shared 6) WATCH LIST: 7) REPORTED PRIORITY: P3 - Medium (Sev3) 8) ADDITIONAL DETAILS: 9) ATTACHMENTS (EVIDENCE, SCREENSHOTS, LOGS,ETC): AIOps CCMM IAM issue screenshots and links.zip PLATFORM TOOLS - INTEGRATED AIOPS (AIOPS) DETAILS 1) AIOPS LOCATION: Integrated AIOPs - NA 2) AIOPS INSTANCE: Americas 3) AIOPS DATA PLANE: 4) WHERE ON THE WEB PAGE IS THE ISSUE LOCATED?: Home &gt; Header &gt; Insights &gt; Dashboards &gt; All Dashboards 5) WHAT SUBCATEGORY OF THE LOCATION IS THE ISSUE RELATED TO?: IAMaaS(UAT+DSS) Dashboard 6) URL OF THE WEB PAGE DISPLAYING THE ISSUE: https://www.kyndryl.com/bridge/console/ccmm#/overview 7) WHAT IS THE ISSUE?: Incorrect data</t>
  </si>
  <si>
    <t>Change approver name in ARMS</t>
  </si>
  <si>
    <t>Bikram Jha</t>
  </si>
  <si>
    <t>PLATFORM TOOLS - BASIC DETAILS 1) SHORT DESCRIPTION: Change approver name in ARMS 2) DESCRIPTION OF REQUEST: I am the new DPE for JSW steel Ltd account, require approver name change. 3) CAPABILITY/TOOL: Integrated AIOps (AIOPS) 4) KYNDRYL BRIDGE CUSTOMER FOR AIOPS LOOKUP (IF KNOWN): JSW Steel LTD - jsw (BAC00033DE-IN) es.che1 5) ORG MARKET: India 6) ADDITIONAL DETAILS: 7) NOTIFY: PLATFORM TOOLS - INTEGRATED AIOPS (AIOPS) DETAILS 1) AIOPS LOCATION: Integrated AIOPs - IN 2) AIOPS INSTANCE: India 3) TYPE OF REQUEST: AIOPS - ARMS</t>
  </si>
  <si>
    <t>Total Ticket count</t>
  </si>
  <si>
    <t>Priority Table</t>
  </si>
  <si>
    <t>Dynatrace tickets</t>
  </si>
  <si>
    <t>Ticket Status</t>
  </si>
  <si>
    <t>CVE-2026-25250 not remediated in Vulnerability Management Insights</t>
  </si>
  <si>
    <t>Mateusz SÅ‚owiÅ„ski</t>
  </si>
  <si>
    <t>PLATFORM TOOLS - BASIC DETAILS 1) CAPABILITY/TOOL: Integrated AIOps (AIOPS) 2) SHORT DESCRIPTION: CVE-2026-25250 not remediated in Vulnerability Management Insights 3) DESCRIPTION OF ISSUE: CVE-2026-25250 not remediated in Vulnerability Management Insights PLATFORM TOOLS - BASIC DETAILS 1) SHORT DESCRIPTION: CVE-2026-25250 not remediated in Vulnerability Management Insights 2) DESCRIPTION OF REQUEST: Please check why CVE-2026-25250 is not auto-remediated in Vulnerability Management Insights. In apexqIQ this CVE is no longer dicovered. Attached two files with screenshots from AIOps and ApeqaIQ. 3) CAPABILITY/TOOL: Integrated AIOps (AIOPS) 4) KYNDRYL BRIDGE CUSTOMER FOR AIOPS LOOKUP (IF KNOWN): Mitsubishi Motors Corporation - mme (BAC000124F-NL) es.ams1 5) ORG MARKET: Strategic Markets 6) ADDITIONAL DETAILS: see above 7) NOTIFY: 8) ATTACHMENTS (EVIDENCE, SCREENSHOTS, LOGS,ETC): ApexaIQ CVE-2026-25250 no longer discovered - example server dmz02.png, CVE-2026-25250 status not updated in AIOps, in ApexaIQ no longer discovered.png PLATFORM TOOLS - INTEGRATED AIOPS (AIOPS) DETAILS 1) AIOPS LOCATION: Integrated AIOPs - EU 2) AIOPS INSTANCE: Europe 3) TYPE OF REQUEST: AIOPS - General Request 4) KYNDRYL BRIDGE CUSTOMER FOR AIOPS LOOKUP (IF KNOWN): Mitsubishi Motors Corporation - mme (BAC000124F-NL) es.ams1 5) ORG MARKET: Strategic Markets 6) WATCH LIST: ChmelÃ­kovÃ¡ Martina 7) REPORTED PRIORITY: P3 - Medium (Sev3) 8) ADDITIONAL DETAILS: referring to SR below, please investigate why this CVE is no Auto remediated on some devices and still exists on others SR11192264 CVE-2026-25250 NOT REMEDIATED IN VULNERABILITY MANAGEMENT INSIGHTS (11192264) 9) ATTACHMENTS (EVIDENCE, SCREENSHOTS, LOGS,ETC): CVE-2026-25250 status not updated in AIOps, in ApexaIQ no longer discovered.png, ApexaIQ CVE-2026-25250 no longer discovered - example server dmz02.png PLATFORM TOOLS - INTEGRATED AIOPS (AIOPS) DETAILS 1) AIOPS LOCATION: Integrated AIOPs - EU 2) AIOPS INSTANCE: Europe 3) AIOPS DATA PLANE: 4) WHERE ON THE WEB PAGE IS THE ISSUE LOCATED?: Home &gt; Header &gt; Insights &gt; Dashboards 5) WHAT SUBCATEGORY OF THE LOCATION IS THE ISSUE RELATED TO?: Security Patch Management 6) URL OF THE WEB PAGE DISPLAYING THE ISSUE: https://www.kyndryl.com/bridge/aiops/insights/dashboard/es.ams1.4c331883-6d59-4054-99bc-5f4e440a9a5e?_a=(filters:!((query:(terms:(contract_id:!(%27BAC000124F%27,%27BAM000170E%27))))))&amp;_g=(filters:!(),refreshInterval:(pause:!t,value:0))&amp;bootstrap=false&amp;a=delivery&amp;ou=crn:v1:dx:local:iam:global:delivery:public:domain:8103cd85bfd4.1 7) WHAT IS THE ISSUE?: Incorrect data</t>
  </si>
  <si>
    <t>The following indexes in EU region has not refreshed with the latest timestamp. delivery.cacf_perf_visual_global delivery.cacf_perf_global_backup delivery.bps_perf_visual_global delivery.inventory.kpi.overall_pod</t>
  </si>
  <si>
    <t>Sakshya J Poojary .</t>
  </si>
  <si>
    <t>DSS missing data in production</t>
  </si>
  <si>
    <t>AKSHAY RAVINDRA NAYAK</t>
  </si>
  <si>
    <t>Alokik Bhatt</t>
  </si>
  <si>
    <t>PLATFORM TOOLS - BASIC DETAILS 1) CAPABILITY/TOOL: Integrated AIOps (AIOPS) 2) SHORT DESCRIPTION: DSS missing data in production 3) DESCRIPTION OF ISSUE: TOPIC -&gt; CONSUMER GROUP NAME resiliency-alerts-source -&gt; alert-group1 resiliency-operation-status -&gt; automation-group REPO NAME: https://github.com/kyndryl-cto/bdg-gps-res-kirs-resiliency-common-consumer WORKLOAD NAMES: wn22scale_172.16.9.46, wn22scale_172.16.9.47 Above workloads are pushed into the above topics, but the data of topics do not reach to the consumer mentioned above. service which is resiliency common consumer is up and running without any issues. TIMEFRAME: July 10th to July 12th. Account: Global Internal - IN Kyndryl Bridge Demo Account 4) KYNDRYL BRIDGE CUSTOMER FOR AIOPS LOOKUP (IF KNOWN): Resiliency Orchestration - ro1 (BAC000304F-IN) es.was1 5) ORG MARKET: India 6) WATCH LIST: 7) REPORTED PRIORITY: P2 - High (Sev2) 8) ADDITIONAL DETAILS: PLATFORM TOOLS - INTEGRATED AIOPS (AIOPS) DETAILS 1) AIOPS LOCATION: Integrated AIOPs - Global 2) AIOPS INSTANCE: Global 3) AIOPS DATA PLANE: 4) WHERE ON THE WEB PAGE IS THE ISSUE LOCATED?: Home &gt; Header &gt; Insights &gt; Dashboards 5) WHAT SUBCATEGORY OF THE LOCATION IS THE ISSUE RELATED TO?: Automation 6) URL OF THE WEB PAGE DISPLAYING THE ISSUE: 7) WHAT IS THE ISSUE?: Missing data</t>
  </si>
  <si>
    <t>The following indexes in AP region has not refreshed with the latest timestamp.delivery.cacf_perf_visual_global delivery.cacf_perf_global_backup</t>
  </si>
  <si>
    <t>Data not load into Best Practice from some AIOPS instances</t>
  </si>
  <si>
    <t>Gitte Andersen</t>
  </si>
  <si>
    <t>PLATFORM TOOLS - BASIC DETAILS 1) CAPABILITY/TOOL: Integrated AIOps (AIOPS) 2) SHORT DESCRIPTION: Data not load into Best Practice from some AIOPS instances 3) DESCRIPTION OF ISSUE: This is a GENERAL issue for at least APC and EU. Sample Schibsted (sc5) account No data loaded into Best Practice dashboard after July 17. I have attached UDC Playbook job log showing successful scan July 19 I have access to app 45 account and latest data load I see from EU and APC are July 18 (some from July 17) Is it related to the Org Change, AIOPS are doing these days 4) KYNDRYL BRIDGE CUSTOMER FOR AIOPS LOOKUP (IF KNOWN): Schibsted - sc5 (BAC00027C3-NO) es.ams1 5) ORG MARKET: Strategic Markets 6) WATCH LIST: 7) REPORTED PRIORITY: P2 - High (Sev2) 8) ADDITIONAL DETAILS: 9) ATTACHMENTS (EVIDENCE, SCREENSHOTS, LOGS,ETC): job_66435497.txt, SC5 lack dataload July 20.png, 45 accounts .png PLATFORM TOOLS - INTEGRATED AIOPS (AIOPS) DETAILS 1) AIOPS LOCATION: Integrated AIOPs - EU 2) AIOPS INSTANCE: Europe 3) AIOPS DATA PLANE: 4) WHERE ON THE WEB PAGE IS THE ISSUE LOCATED?: Home &gt; Header &gt; Insights &gt; Dashboards 5) WHAT SUBCATEGORY OF THE LOCATION IS THE ISSUE RELATED TO?: Best practice 6) URL OF THE WEB PAGE DISPLAYING THE ISSUE: https://www.kyndryl.com/bridge/aiops/insights/dashboard/d7e0ed17-3ccc-4e03-8ac5-09f0e444e098/ 7) WHAT IS THE ISSUE?: Missing data</t>
  </si>
  <si>
    <t>TAP Dashboard metrics impacted due to AIOPS daily use case failure and stale data refresh</t>
  </si>
  <si>
    <t>Sunil Kumar</t>
  </si>
  <si>
    <t>PLATFORM TOOLS - BASIC DETAILS 1) CAPABILITY/TOOL: Integrated AIOps (AIOPS) 2) SHORT DESCRIPTION: TAP Dashboard metrics impacted due to AIOPS daily use case failure and stale data refresh 3) DESCRIPTION OF ISSUE: After reviewing all ANZ accounts, we observed that the TAP dashboard data has not refreshed since 17 JULY. The daily standard use case execution is failing, while the weekly use case continues to run using the previously scheduled execution. As a result, TAP dashboard metrics, including account-level TAP percentages and Overall ANZ TAP metrics, are showing incorrect and degraded values. The issue appears to be impacting multiple accounts and is causing inaccurate automation performance reporting. 4) KYNDRYL BRIDGE CUSTOMER FOR AIOPS LOOKUP (IF KNOWN): Red Energy - rey (BAC0000711-AU) es.syd1 5) ORG MARKET: ANZ 6) WATCH LIST: Vasantrao Rajendra 7) REPORTED PRIORITY: P2 - High (Sev2) 8) ADDITIONAL DETAILS: 9) ATTACHMENTS (EVIDENCE, SCREENSHOTS, LOGS,ETC): Screenshot_20-7-2026_71149_www.kyndryl.com.jpeg PLATFORM TOOLS - INTEGRATED AIOPS (AIOPS) DETAILS 1) AIOPS LOCATION: Integrated AIOPs - AP 2) AIOPS INSTANCE: Asia Pacific 3) AIOPS DATA PLANE: 4) WHERE ON THE WEB PAGE IS THE ISSUE LOCATED?: Home &gt; Header &gt; Insights &gt; Dashboards &gt; All Dashboards 5) WHAT SUBCATEGORY OF THE LOCATION IS THE ISSUE RELATED TO?: Total Automation Performance 6) URL OF THE WEB PAGE DISPLAYING THE ISSUE: 7) WHAT IS THE ISSUE?: Missing data</t>
  </si>
  <si>
    <t>Actual data is not reflecting in Total automation performance 1 &amp; 2 (Standard Services)</t>
  </si>
  <si>
    <t>KAVURI SRIDHAR</t>
  </si>
  <si>
    <t>PLATFORM TOOLS - BASIC DETAILS 1) CAPABILITY/TOOL: Integrated AIOps (AIOPS) 2) SHORT DESCRIPTION: Actual data is not reflecting in Total automation performance 1 &amp; 2 (Standard Services) 3) DESCRIPTION OF ISSUE: looks data is not getting replicated from CACF to AIOPS dashboards. Last update available was 17th July 2026 for entire instance as per TAP1 -standard services dashboard data. Due to this issue entire AIOPs matrix got impacted for all accounts 4) KYNDRYL BRIDGE CUSTOMER FOR AIOPS LOOKUP (IF KNOWN): Indosat - i4t (BAC000268F-ID) es.syd1 5) ORG MARKET: Strategic Markets 6) WATCH LIST: Vemula Sadanandam 7) REPORTED PRIORITY: P2 - High (Sev2) 8) ADDITIONAL DETAILS: Need to check on high priority. Screenshot provided considering 19Jul 00:00 to 20th Jul 00:00hrs 9) ATTACHMENTS (EVIDENCE, SCREENSHOTS, LOGS,ETC): Frequency TAP2 dashboard.jpg, CACF_Data_Sample.jpg, TAP1-Standard services Data_sample.jpg PLATFORM TOOLS - INTEGRATED AIOPS (AIOPS) DETAILS 1) AIOPS LOCATION: Integrated AIOPs - AP 2) AIOPS INSTANCE: Asia Pacific 3) AIOPS DATA PLANE: ANZ 4) WHERE ON THE WEB PAGE IS THE ISSUE LOCATED?: Home &gt; Header &gt; Insights &gt; Dashboards &gt; All Dashboards 5) WHAT SUBCATEGORY OF THE LOCATION IS THE ISSUE RELATED TO?: Total Automation Performance 6) URL OF THE WEB PAGE DISPLAYING THE ISSUE: 7) WHAT IS THE ISSUE?: Component failure</t>
  </si>
  <si>
    <t>oe1#itdch-cmdb-is-to-glpi#P-260739176-Error while pulling data from Synapps</t>
  </si>
  <si>
    <t>Business Service: Integrated AIOps (AIOPS) Capability Tool: Integrated AIOPs - EU -------------------------------------------- FirstOccurrence: 2026-07-19 04:51:53 Summary: P-260739176-Error while pulling data from Synapps Severity: Major ResourceId: itdch-cmdb-is-to-glpi ServerSerial: 10565387 ServerName: NCO_PRI CustomerCode: oe1 InstanceSituation: Extension Error: Error while pulling data from Synapps URL: https://arg88263.live.dynatrace.com/#problems/problemdetails;pid=-9217527255556673697_1784436684367V2 NodeAlias: {Tags[IP]} ComponentType: {Tags[OS]} OSType: AlertKey: Extension Error: Error while pulling data from Synapps TicketGroup: K-PLTools-AIOPs-EU-Delivery-Support</t>
  </si>
  <si>
    <t>oe1#snow-euism1-inc-02#P-260739135-unsuccessful result status; HTTP status code=401 STEP: send_incid</t>
  </si>
  <si>
    <t>Business Service: Integrated AIOps (AIOPS) Capability Tool: Integrated AIOPs - EU -------------------------------------------- FirstOccurrence: 2026-07-19 04:18:22 Summary: P-260739135-unsuccessful result status; HTTP status code=401 STEP: send_incident Severity: Major ResourceId: snow-euism1-inc-02 ServerSerial: 10564861 ServerName: NCO_PRI CustomerCode: oe1 InstanceSituation: Name: snow-euism1-inc-02 URL: https://arg88263.live.dynatrace.com/#problems/problemdetails;pid=-6180748918308958666_1784434673477V2 NodeAlias: {Tags[IP]} ComponentType: {Tags[OS]} OSType: AlertKey: Name: snow-euism1-inc-02 TicketGroup: K-PLTools-AIOPs-EU-Delivery-Support</t>
  </si>
  <si>
    <t>telstra-controlm-jobs : oa1#telstra-controlm-jobs#P-260741320-Deployment is stuck and therefore is no longer progressing.</t>
  </si>
  <si>
    <t>Business Service: Integrated AIOps (AIOPS) Capability Tool: Integrated AIOPs - AP -------------------------------------------- FirstOccurrence: 2026-07-20 03:33:17 Summary: P-260741320-Deployment is stuck and therefore is no longer progressing. Severity: Major ResourceId: telstra-controlm-jobs ServerSerial: 3291145 ServerName: NCO_PRI CustomerCode: oa1 InstanceSituation: Deployment stuck URL: https://arg88263.live.dynatrace.com/#problems/problemdetails;pid=-355100036667428053_1784518200000V2 InstanceId: InstanceSituation:Deployment stuck URL:https://arg88263.live.dynatrace.com/#problems/problemdetails;pid=-355100036667428053_1784518200000V2 Node:telstra-controlm-jobs NodeAlias:{Tags[IP]} ComponentType:{Tags[OS]} OSType: AlertKey:Deployment stuck TicketGroup:K-PLTools-AIOPs-AP-Delivery-Support</t>
  </si>
  <si>
    <t>aks-aiops1z38298-22306227-vmss0000K1 : cii#aks-aiops1z38298-22306227-vmss0000K1#P-260734912-The total available space on disk /var/lib/kube</t>
  </si>
  <si>
    <t>Business Service: Integrated AIOps (AIOPS) Capability Tool: Integrated AIOPs - India -------------------------------------------- FirstOccurrence: 2026-07-17 06:55:25 Summary: P-260734912-The total available space on disk /var/lib/kubelet/pods/f6354e6c-e422-4ce6-b847-7acbfe20685c/volumes/kubernetes.io~csi/pvc-7477804c-384a-4a26-af5e-7e2218e8bf71/mount is lower than 5 % Severity: Minor ResourceId: aks-aiops1z38298-22306227-vmss0000K1 ServerSerial: 3288852 ServerName: NCO_PRI CustomerCode: cii InstanceSituation: Low disk space URL: https://arg88263.live.dynatrace.com/#problems/problemdetails;pid=5760676097139894627_1784270940000V2 InstanceId: InstanceSituation:Low disk space URL:https://arg88263.live.dynatrace.com/#problems/problemdetails;pid=5760676097139894627_1784270940000V2 Node:aks-aiops1z38298-22306227-vmss0000K1 NodeAlias:10.114.8.33 ComponentType:Ubuntu 24.04.4 LTS (Noble Numbat OSType: AlertKey:Low disk space TicketGroup:K-PLTools-AIOPs-IN-Delivery-Support</t>
  </si>
  <si>
    <t>aks-aiops1z27c2e-29424009-vmss0000N9 : cii#aks-aiops1z27c2e-29424009-vmss0000N9#P-260737126-CPU idle threshold below 5%</t>
  </si>
  <si>
    <t>Business Service: Integrated AIOps (AIOPS) Capability Tool: Integrated AIOPs - India -------------------------------------------- FirstOccurrence: 2026-07-18 05:02:07 Summary: P-260737126-CPU idle threshold below 5% Severity: Minor ResourceId: aks-aiops1z27c2e-29424009-vmss0000N9 ServerSerial: 3289709 ServerName: NCO_PRI CustomerCode: cii InstanceSituation: CPU Saturation URL: https://arg88263.live.dynatrace.com/#problems/problemdetails;pid=592656843411980029_1784350300201V2 InstanceId: InstanceSituation:CPU Saturation URL:https://arg88263.live.dynatrace.com/#problems/problemdetails;pid=592656843411980029_1784350300201V2 Node:aks-aiops1z27c2e-29424009-vmss0000N9 NodeAlias:10.114.8.19 ComponentType:Ubuntu 24.04.4 LTS (Noble Numbat OSType: AlertKey:CPU Saturation TicketGroup:K-PLTools-AIOPs-IN-Delivery-Support</t>
  </si>
  <si>
    <t>oe1#bai-grs-incidents-con#Cleared and Re-fired: P-260740722-Out-of-memory kills have been observed f</t>
  </si>
  <si>
    <t>Business Service: Integrated AIOps (AIOPS) Capability Tool: Integrated AIOPs - EU -------------------------------------------- FirstOccurrence: 2026-07-19 20:07:25 Summary: Cleared and Re-fired: P-260740722-Out-of-memory kills have been observed for pods of this workload. Severity: Major ResourceId: bai-grs-incidents-con ServerSerial: 10573399 ServerName: NCO_PRI CustomerCode: oe1 InstanceSituation: Out-of-memory kills URL: https://arg88263.live.dynatrace.com/#problems/problemdetails;pid=-5285466578347695518_1784491440000V2 NodeAlias: {Tags[IP]} ComponentType: {Tags[OS]} OSType: AlertKey: Out-of-memory kills TicketGroup: K-PLTools-AIOPs-EU-Delivery-Support</t>
  </si>
  <si>
    <t>AIOPs VMI Dashboard â€“ Data Discrepancy Between Vulnerability Details Summary and VMI Metrics</t>
  </si>
  <si>
    <t>PLATFORM TOOLS - BASIC DETAILS 1) CAPABILITY/TOOL: Integrated AIOps (AIOPS) 2) SHORT DESCRIPTION: AIOPs VMI Dashboard â€“ Data Discrepancy Between Vulnerability Details Summary and VMI Metrics 3) DESCRIPTION OF ISSUE: There is an issue with the AIOPS VMI DASHBOARD. Specifically, the information displayed in the VULNERABILITY DETAILS SUMMARY section shows a significant discrepancy when compared with the VULNERABILITY MANAGEMENT INSIGHTS section. This issue is not isolated to a single account. We have reviewed multiple accounts and confirmed that the discrepancy is present across ALL MEXICO ACCOUNTS. We also applied the standard filters that we routinely use for reporting and validation; however, the difference in the reported data remains. For reference, I have attached screenshots from the AUTOBUSES DE ORIENTE, BANCO COMPARTAMOS, and PAVISA accounts, which illustrate the inconsistency between both sections of the dashboard. We would appreciate your support in reviewing this issue and identifying the root cause of the discrepancy.S VMI. 4) KYNDRYL BRIDGE CUSTOMER FOR AIOPS LOOKUP (IF KNOWN): Autobuses de Oriente - ado (BAC000220D-MX) es.was1 5) ORG MARKET: US Shared 6) WATCH LIST: 7) REPORTED PRIORITY: P2 - High (Sev2) 8) ADDITIONAL DETAILS: 9) ATTACHMENTS (EVIDENCE, SCREENSHOTS, LOGS,ETC): ADO VMI 1.png, ADO VMI 2.png, Compartamos VMI 1.png, Compartamos VMI 2.png, PAVISA VMI 1.png, PAVISA VMI 2.png PLATFORM TOOLS - INTEGRATED AIOPS (AIOPS) DETAILS 1) AIOPS LOCATION: Integrated AIOPs - Global 2) AIOPS INSTANCE: Global 3) AIOPS DATA PLANE: AIOPs / Insight / Dashboards / Security &amp; Vulnerability Management / Vulnerability Management Insights 4) WHERE ON THE WEB PAGE IS THE ISSUE LOCATED?: Home &gt; Header &gt; Insights &gt; Dashboards 5) WHAT SUBCATEGORY OF THE LOCATION IS THE ISSUE RELATED TO?: Security Patch Management 6) URL OF THE WEB PAGE DISPLAYING THE ISSUE: https://www.kyndryl.com/bridge/aiops/insights/dashboard/es.was1.4c331883-6d59-4054-99bc-5f4e440a9a5e?_a=(filters:!((query:(terms:(contract_id:!(%27BAC710A010%27))))))&amp;_g=(filters:!(),refreshInterval:(pause:!t,value:0))&amp;bootstrap=false 7) WHAT IS THE ISSUE?: Incorrect data</t>
  </si>
  <si>
    <t>AG : Prod:Sudden spike in Kafka Topic Lag â€“ Investigation Required</t>
  </si>
  <si>
    <t>Muthukumar S</t>
  </si>
  <si>
    <t>We have observed a sudden increase in consumer lag for the Kafka topic. The lag has grown significantly within a short period and is impacting message processing. We discussed this with the Ansible team. The job has been running consistently, and the increase in lag does not appear to be due to a sudden spike in processing. It seems that SFS released a large number of messages at the same time, which resulted in the lag increase. Could the SFS team please investigate the following: Reason for the sudden spike in topic lag. Any recent changes, deployments, or upstream issues that may have contributed to the increase. Topic name : inventory-items-source consumer group : inventory-consolidator-production lag count : 1714572 inventory-consolidator-production consumer Stable consumer/range inventory-items-source 1714572 1 inventory-items@/10.244.28.31</t>
  </si>
  <si>
    <t>Automation Services jobs failing since 15-Jul-2026 @ 17:45 ET</t>
  </si>
  <si>
    <t>PLATFORM TOOLS - BASIC DETAILS 1) CAPABILITY/TOOL: Integrated AIOps (AIOPS) 2) SHORT DESCRIPTION: Automation Services jobs failing since 15-Jul-2026 @ 17:45 ET 3) DESCRIPTION OF ISSUE: All of the Automation Services jobs are failing for BNSF since 7/15/2026 @ 17:15 PM ET. The last successful job kicked off was 07/15/2026 @ 05:00:36 AM ET. No errors in Automation Services except status Fail, and they don't reach tower, so no job ID created. No change in the automation details. 4) KYNDRYL BRIDGE CUSTOMER FOR AIOPS LOOKUP (IF KNOWN): BNSF Railway Company - bnf, bsf (BAC0000FC2) es.was1 5) ORG MARKET: USA 6) WATCH LIST: JAYARAMAN KARTHICK, KutÃ¡lek Michal 7) REPORTED PRIORITY: P2 - High (Sev2) 8) ADDITIONAL DETAILS: PLATFORM TOOLS - INTEGRATED AIOPS (AIOPS) DETAILS 1) AIOPS LOCATION: Integrated AIOPs - NA 2) AIOPS INSTANCE: Americas 3) AIOPS DATA PLANE: es.was1 4) WHERE ON THE WEB PAGE IS THE ISSUE LOCATED?: Home &gt; Header &gt; Automation &gt; Actions 5) WHAT SUBCATEGORY OF THE LOCATION IS THE ISSUE RELATED TO?: Automation 6) URL OF THE WEB PAGE DISPLAYING THE ISSUE: https://www.kyndryl.com/bridge/aiops/actions/tasks 7) WHAT IS THE ISSUE?: Component failure</t>
  </si>
  <si>
    <t>Delay in getting Teams notification for High Priority Incidents</t>
  </si>
  <si>
    <t>PLATFORM TOOLS - BASIC DETAILS 1) CAPABILITY/TOOL: ChatOps 2) SHORT DESCRIPTION: Delay in getting Teams notification for High Priority Incidents 3) DESCRIPTION OF ISSUE: We are observing significant delays between the incident creation time in ServiceNow and the corresponding chatops notification received in Teams. In several cases, notifications have been delayed by hours, while in others, they have arrived days after the incident was opened. We would appreciate your assistance in investigating the root cause of these delays. Timely notifications are critical to the effectiveness of this agent, and the current latency is significantly impacting its value 4) CUSTOMER IMPACTED?: Yes 5) CUSTOMER BLUEID LOOKUP (IF KNOWN): wlp - Elevance Health Inc - United States of America - BAC0000BF2 - Mkt: USA 6) ORG MARKET: USA 7) WATCH LIST: Liesenfelt Tory, UDGIR SATISH, Fernandes Franklin, Mura Harinath Reddy 8) REPORTED PRIORITY: P3 - Medium (Sev3) 9) ADDITIONAL DETAILS: PLATFORM TOOLS - CHATOPS DETAILS 1) LOCATION OF CAPABILITY/TOOL INSTANCE: ChatOps - NA 2) ISSUE CATEGORY: Integration - ITSM</t>
  </si>
  <si>
    <t>oe1#bai-grs-problems-cons#Cleared and Re-fired: P-260739293-Out-of-memory kills have been observed f</t>
  </si>
  <si>
    <t>Business Service: Integrated AIOps (AIOPS) Capability Tool: Integrated AIOPs - EU -------------------------------------------- FirstOccurrence: 2026-07-19 04:14:19 Summary: Cleared and Re-fired: P-260739293-Out-of-memory kills have been observed for pods of this workload. Severity: Major ResourceId: bai-grs-problems-cons ServerSerial: 10564789 ServerName: NCO_PRI CustomerCode: oe1 InstanceSituation: Out-of-memory kills URL: https://arg88263.live.dynatrace.com/#problems/problemdetails;pid=-140703445713113906_1784434260000V2 NodeAlias: {Tags[IP]} ComponentType: {Tags[OS]} OSType: AlertKey: Out-of-memory kills TicketGroup: K-PLTools-AIOPs-EU-Delivery-Support</t>
  </si>
  <si>
    <t>PL_TOOLS - Request - AIOPS - Request Onboarding to Integrated AIOPS</t>
  </si>
  <si>
    <t>RAJENDRA NANDAGUDI</t>
  </si>
  <si>
    <t>PLATFORM TOOLS - CUSTOMER DETAILS 1) CAPABILITY/TOOL: Integrated AIOps (AIOPS) 2) ACCOUNT LOOKUP (IF KNOWN): DTI - Drilling Tools International - 0d5 (BAM5860091-US) es.was1 3) AIOPS LOCATION: Integrated AIOPs - NA PLATFORM TOOLS - AIOPS REQUEST DETAILS 1) ACCOUNT DPE NAME: Rajendra Nandagudi 2) ACCOUNT DPE EMAIL: Rajendra.nandagudi@kyndryl.com 3) I CONFIRM I WILL COMPLETE THE ONLINE FORM ONCE I SUBMIT THIS REQUEST: Yes PLATFORM TOOLS - ADDITIONAL INFORMATION 1) NOTIFY: MANCHALA MADHU SUDHAN</t>
  </si>
  <si>
    <t>Check Netbox connectivity from network-service-gateway pod</t>
  </si>
  <si>
    <t>Akshatha Baburaya Mallya</t>
  </si>
  <si>
    <t>PLATFORM TOOLS - BASIC DETAILS 1) SHORT DESCRIPTION: Check Netbox connectivity from network-service-gateway pod 2) DESCRIPTION OF REQUEST: We are unable to verify if netbox is connected to gateway in was1(NA). We will provide a curl command or python script to verify this. This is blocking onboarding a customer using unified device onboarding. We need someone with cluster access to help with this. 3) CAPABILITY/TOOL: Integrated AIOps (AIOPS) 4) KYNDRYL BRIDGE CUSTOMER FOR AIOPS LOOKUP (IF KNOWN): DWS-NIBCO INC - n5b (BAC0003A16-US) es.was1 5) ORG MARKET: US Shared 6) ADDITIONAL DETAILS: 7) NOTIFY: Gupta Dharm, M Murugesan PLATFORM TOOLS - INTEGRATED AIOPS (AIOPS) DETAILS 1) AIOPS LOCATION: Integrated AIOPs - NA 2) AIOPS INSTANCE: Americas 3) TYPE OF REQUEST: AIOPS - General Request</t>
  </si>
  <si>
    <t>Kyndryl Bridge â€“ Investigation Required: â€œDevices Out of Capacityâ€ Data Not Being Updated Since July 9th</t>
  </si>
  <si>
    <t>Raphael Amante Pereira Da Silva</t>
  </si>
  <si>
    <t>PLATFORM TOOLS - BASIC DETAILS 1) CAPABILITY/TOOL: Integrated AIOps (AIOPS) 2) SHORT DESCRIPTION: Kyndryl Bridge â€“ Investigation Required: â€œDevices Out of Capacityâ€ Data Not Being Updated Since July 9th 3) DESCRIPTION OF ISSUE: Hello Team, We would like to request support to investigate why no new information is being populated in the "DEVICES OUT OF CAPACITY" dashboard in Kyndryl Bridge since JULY 9TH. The issue is affecting the following Gerdau environments: * GERDAU BRAZIL (GER) * GERDAU US (GNA) * GERDAU REMOTAS (GUR) We understand that there are ongoing data collection issues affecting part of the environment. However, data collection has NOT CEASED COMPLETELY, and we continue to see servers successfully collecting and transferring data to SRM. Despite this, no new information has been reflected in Bridge since July 9th. This behavior leads us to believe the issue may be occurring somewhere in the ingestion, processing, or synchronization flow between SRM and Bridge rather than being exclusively related to data collection. For additional context, during June we experienced issues with the SRM data collection automation after a global update of the collection playbook. The newer version was not functioning properly in our environment, resulting in the interruption of collections. After troubleshooting with the Automation team, we reverted the schedules to the previous operational version (2.0.3), and data collection resumed successfully. Following the rollback, data started being transferred again and collection activity returned. While we still have collection failures on a subset of servers, many servers are successfully generating and transferring data to SRM. Nevertheless, Bridge has not received or displayed any new data since July 9th. We have validated that data is still reaching SRM after July 9th, although at a reduced volume due to the collection issues. Therefore, we would expect at least partial updates to be reflected in Bridge, which is currently not occurring. Could you please help us investigate: Whether data received by SRM after July 9th is being processed correctly by Bridge. * Whether there are any ingestion, validation, or synchronization failures affecting the "Devices Out of Capacity" population process. * Whether there are any known issues currently affecting the SRM-to-Bridge integration. * Whether data is being discarded, delayed, or failing validation after reaching SRM. * Whether the GER, GNA, and GUR accounts are being processed successfully by the Bridge ingestion pipeline. From our analysis, the current evidence suggests that at least part of the collection and transfer process is working, as new data continues to arrive in SRM. The primary concern is that Bridge has not reflected any new information since July 9th despite ongoing collection activity. Any assistance in identifying the root cause would be greatly appreciated. 4) KYNDRYL BRIDGE CUSTOMER FOR AIOPS LOOKUP (IF KNOWN): Gerdau - ger (BAC0000576-BR) es.was1 5) ORG MARKET: Strategic Markets 6) WATCH LIST: 7) REPORTED PRIORITY: P3 - Medium (Sev3) 8) ADDITIONAL DETAILS: PLATFORM TOOLS - INTEGRATED AIOPS (AIOPS) DETAILS 1) AIOPS LOCATION: Integrated AIOPs - Global 2) AIOPS INSTANCE: Global 3) AIOPS DATA PLANE: https://www.kyndryl.com/bridge/aiops/home/DevicesOCService 4) WHERE ON THE WEB PAGE IS THE ISSUE LOCATED?: Home &gt; Header &gt; Insights &gt; Dashboards &gt; All Dashboards 5) WHAT SUBCATEGORY OF THE LOCATION IS THE ISSUE RELATED TO?: Devices out of capacity 6) URL OF THE WEB PAGE DISPLAYING THE ISSUE: https://www.kyndryl.com/bridge/aiops/home/DevicesOCService 7) WHAT IS THE ISSUE?: Missing data</t>
  </si>
  <si>
    <t>Issue in inventory mandatory fields and CEP report</t>
  </si>
  <si>
    <t>Sebastian Mani</t>
  </si>
  <si>
    <t>PLATFORM TOOLS - BASIC DETAILS 1) CAPABILITY/TOOL: Integrated AIOps (AIOPS) 2) SHORT DESCRIPTION: Issue in inventory mandatory fields and CEP report 3) DESCRIPTION OF ISSUE: 1) Location not accessible - When I click to Opeque ID for MF system, I am getting an error message "Request Failed with Status Code 404" 2) System Administrator Field and Security Standard Name field - the value is defined, but in CEP report it shows the column is blank 4) KYNDRYL BRIDGE CUSTOMER FOR AIOPS LOOKUP (IF KNOWN): Hertz - hrz, her (BAC0000FD5-US) es.was1 5) ORG MARKET: USA 6) WATCH LIST: 7) REPORTED PRIORITY: P3 - Medium (Sev3) 8) ADDITIONAL DETAILS: 1) Location not accessible - When I click to Opeque ID for MF system, I am getting an error message "Request Failed with Status Code 404" 2) System Administrator Field and Security Standard Name field - the value is defined, but in CEP report it shows the column is blank 9) ATTACHMENTS (EVIDENCE, SCREENSHOTS, LOGS,ETC): Inventory.zip PLATFORM TOOLS - INTEGRATED AIOPS (AIOPS) DETAILS 1) AIOPS LOCATION: Integrated AIOPs - NA 2) AIOPS INSTANCE: Americas 3) AIOPS DATA PLANE: 4) WHERE ON THE WEB PAGE IS THE ISSUE LOCATED?: Home &gt; Header &gt; Automation &gt; Inventory 5) WHAT SUBCATEGORY OF THE LOCATION IS THE ISSUE RELATED TO?: Inventory 6) URL OF THE WEB PAGE DISPLAYING THE ISSUE: 7) WHAT IS THE ISSUE?: Missing data</t>
  </si>
  <si>
    <t>PLATFORM TOOLS - BASIC DETAILS 1) CAPABILITY/TOOL: Integrated AIOps (AIOPS) 2) SHORT DESCRIPTION: Extension creation Error in prod account 3) DESCRIPTION OF ISSUE: Hi! I'm trying to create an instance of a new extension in an account in PROD, but I'm getting the error "An unexpected error occurred: Failed to create extension: You do not have sufficient permissions to create extensions in this tenant." I do have extensions-admin for the account on ARMS and below I attached the screenshot for the call, only 1 api is giving error 400. This is the first time I deploy an extension on this account. A'm also attaching my ARMS access for this account. Account: FSTECH-TIAKY-GARA5 Country: Italy 4) KYNDRYL BRIDGE CUSTOMER FOR AIOPS LOOKUP (IF KNOWN): FSTECH-TIAKY-GARA5 - wti (BAC0000CE9-IT) es.ams1 5) ORG MARKET: Italy 6) WATCH LIST: 7) REPORTED PRIORITY: P3 - Medium (Sev3) 8) ADDITIONAL DETAILS: 9) ATTACHMENTS (EVIDENCE, SCREENSHOTS, LOGS,ETC): ARMS GARA5 Access.pdf, Screenshot 2026-07-14 165838.png, Screenshot 2026-07-14 162823.png PLATFORM TOOLS - INTEGRATED AIOPS (AIOPS) DETAILS 1) AIOPS LOCATION: Integrated AIOPs - EU 2) AIOPS INSTANCE: Europe 3) AIOPS DATA PLANE: 4) WHERE ON THE WEB PAGE IS THE ISSUE LOCATED?: Home &gt; Side bar 5) WHAT SUBCATEGORY OF THE LOCATION IS THE ISSUE RELATED TO?: Extensions 6) URL OF THE WEB PAGE DISPLAYING THE ISSUE: https://www.kyndryl.com/bridge/aiops/extensions/config 7) WHAT IS THE ISSUE?: Component failure</t>
  </si>
  <si>
    <t>MissMatch between AIOPs and ServiceNow Incident status</t>
  </si>
  <si>
    <t>Himanshu Jain</t>
  </si>
  <si>
    <t>PLATFORM TOOLS - BASIC DETAILS 1) CAPABILITY/TOOL: Integrated AIOps (AIOPS) 2) SHORT DESCRIPTION: MissMatch between AIOPs and ServiceNow Incident status 3) DESCRIPTION OF ISSUE: Incident AIOps Status ServiceNow Status Updated Date Comments INC1397957 ACTIVE Cancelled 13-04-2026 08:11 3 months ago INC1400750 ACTIVE Closed 14-04-2026 11:14 3 months ago INC1399631 ON HOLD Cancelled 15-04-2026 14:55 2 months INC1400331 ON HOLD Cancelled 15-04-2026 14:55 2 months INC1420217 ON HOLD Cancelled 04-06-2026 15:18 25 days INC1421969 ON HOLD Closed 04-06-2026 15:52 25 days 4) KYNDRYL BRIDGE CUSTOMER FOR AIOPS LOOKUP (IF KNOWN): MCMS Maaden - maa (BAC0002738-SA) es.ams1 5) ORG MARKET: Strategic Markets 6) WATCH LIST: 7) REPORTED PRIORITY: P3 - Medium (Sev3) 8) ADDITIONAL DETAILS: PLATFORM TOOLS - INTEGRATED AIOPS (AIOPS) DETAILS 1) AIOPS LOCATION: Integrated AIOPs - EU 2) AIOPS INSTANCE: Europe 3) AIOPS DATA PLANE: 4) WHERE ON THE WEB PAGE IS THE ISSUE LOCATED?: Home &gt; Landing Page &gt; Incident 5) WHAT SUBCATEGORY OF THE LOCATION IS THE ISSUE RELATED TO?: Incident 6) URL OF THE WEB PAGE DISPLAYING THE ISSUE: 7) WHAT IS THE ISSUE?: Incorrect data</t>
  </si>
  <si>
    <t>COG: Kindly close the below ticket from the backend since its showing as open in AIOPS</t>
  </si>
  <si>
    <t>Swetha Bakthavatchalam</t>
  </si>
  <si>
    <t>COG: Kindly close the below ticket from the backend since its showing as open in AIOPS INCEU20645581 INCEU20645523 INCEU20645486 INCEU20645393 INCEU20645391 INCEU20645390 INCEU20645380 INCEU20645377 INCEU20645373 INCEU20645363 INCEU20645362 INCEU20645354 INCEU20645353 INCEU20645338 INCEU20645336 INCEU20645335 INCEU20645333 INCEU20645326 INCEU20645325 INCEU20645324 INCEU20645323 INCEU20645322 INCEU20645306 INCEU20645305 INCEU20645304 INCEU20645303 INCEU20645251 INCEU20645250 INCEU20645248 INCEU20645247 INCEU20645246 INCEU20645169 INCEU20645168 INCEU20644042 INCEU20643199 INCEU20643138 INCEU20642967 INCEU20642963 INCEU20642962 INCEU20642681 INCEU20642418 INCEU20642415 INCEU20642296 INCEU20642267 INCEU20641565 INCEU20641540 INCEU20640844 INCEU20640840 INCEU20640421 INCEU20638167 INCEU20638167 INCEU20637600 INCEU20637600 INCEU20637211 INCEU20631319</t>
  </si>
  <si>
    <t>Export missing for report in Voice Insights</t>
  </si>
  <si>
    <t>Luis Ignacio Callero</t>
  </si>
  <si>
    <t>PLATFORM TOOLS - BASIC DETAILS 1) CAPABILITY/TOOL: Integrated AIOps (AIOPS) 2) SHORT DESCRIPTION: Export missing for report in Voice Insights 3) DESCRIPTION OF ISSUE: The option to export the CSV report of "Details per day" is not visible under Insight "Service Desk Voice Channel Insights" for KiwiRail account. We can see the dropbox opens but it shows empty. See attachment image. Same issue is detected for Acme account, so I assume it is a global issue. FYI: I was not able to find Kiwirail in the field "Account information" dropbox below, hence I selected the first option 4) KYNDRYL BRIDGE CUSTOMER FOR AIOPS LOOKUP (IF KNOWN): A.P. Moller Maersk - apm (BAC00005D7-DK) es.ams1 5) ORG MARKET: ANZ 6) WATCH LIST: 7) REPORTED PRIORITY: P3 - Medium (Sev3) 8) ADDITIONAL DETAILS: 9) ATTACHMENTS (EVIDENCE, SCREENSHOTS, LOGS,ETC): Export failing for Voice Insights.png PLATFORM TOOLS - INTEGRATED AIOPS (AIOPS) DETAILS 1) AIOPS LOCATION: Integrated AIOPs - AP 2) AIOPS INSTANCE: Asia Pacific 3) AIOPS DATA PLANE: Sydney Australia 4) WHERE ON THE WEB PAGE IS THE ISSUE LOCATED?: Home &gt; Header &gt; Insights &gt; Dashboards &gt; All Dashboards 5) WHAT SUBCATEGORY OF THE LOCATION IS THE ISSUE RELATED TO?: Service Desk Voice Channel Insights 6) URL OF THE WEB PAGE DISPLAYING THE ISSUE: https://www.kyndryl.com/bridge/aiops/insights/dashboard/618916bf-9e65-418e-ac94-cba5dba7ecba/ 7) WHAT IS THE ISSUE?: Component failure</t>
  </si>
  <si>
    <t>BPS Value Showing DIfferent :: FG</t>
  </si>
  <si>
    <t>PLATFORM TOOLS - BASIC DETAILS 1) CAPABILITY/TOOL: Integrated AIOps (AIOPS) 2) SHORT DESCRIPTION: BPS Value Showing DIfferent :: FG 3) DESCRIPTION OF ISSUE: Best Practice Performance Value showing different inside and outside. please check attached screenshot for reference. Account : Future Generali 4) KYNDRYL BRIDGE CUSTOMER FOR AIOPS LOOKUP (IF KNOWN): Future Genarali - fg1 (BAC0002783-IN) es.che1 5) ORG MARKET: India 6) WATCH LIST: K DEEPA, Chitrambalam Radhakrishnan 7) REPORTED PRIORITY: P4 - Low (Sev4) 8) ADDITIONAL DETAILS: Please find attached screenshot for reference. 9) ATTACHMENTS (EVIDENCE, SCREENSHOTS, LOGS,ETC): FG_BPS_IN_Screenshot 2026-07-17 171629.png, FG_BPS_OUT_Screenshot 2026-07-17 171728.png PLATFORM TOOLS - INTEGRATED AIOPS (AIOPS) DETAILS 1) AIOPS LOCATION: Integrated AIOPs - IN 2) AIOPS INSTANCE: India 3) AIOPS DATA PLANE: 4) WHERE ON THE WEB PAGE IS THE ISSUE LOCATED?: Home &gt; IT Health Indicators 5) WHAT SUBCATEGORY OF THE LOCATION IS THE ISSUE RELATED TO?: Best Practice Performance 6) URL OF THE WEB PAGE DISPLAYING THE ISSUE: 7) WHAT IS THE ISSUE?: Other</t>
  </si>
  <si>
    <t>Changes to inventory not getting updated</t>
  </si>
  <si>
    <t>Balasubramanya Avadhani</t>
  </si>
  <si>
    <t>PLATFORM TOOLS - BASIC DETAILS 1) SHORT DESCRIPTION: Changes to inventory not getting updated 2) DESCRIPTION OF REQUEST: Hi Team, The field changes I do are not getting updated or is not reflecting in AIOPS I am changing the field values for some "Is Continued Business Need Required" which is updated as Yes to No. This is not reflecting even after 24 hrs of the change being performed. I want the field to be sent to No. Account NCC-ADT Andritz Provider Account = Microsoft Azure 3) CAPABILITY/TOOL: Integrated AIOps (AIOPS) 4) KYNDRYL BRIDGE CUSTOMER FOR AIOPS LOOKUP (IF KNOWN): Andritz - ADT - adt (BACDFF0000-AT) es.ams1 5) ORG MARKET: Strategic Markets 6) ADDITIONAL DETAILS: 7) NOTIFY: PLATFORM TOOLS - INTEGRATED AIOPS (AIOPS) DETAILS 1) AIOPS LOCATION: Integrated AIOPs - EU 2) AIOPS INSTANCE: Europe 3) TYPE OF REQUEST: AIOPS - General Request</t>
  </si>
  <si>
    <t>SRM Consumer extension showing error 405</t>
  </si>
  <si>
    <t>Rahul R</t>
  </si>
  <si>
    <t>PLATFORM TOOLS - BASIC DETAILS 1) CAPABILITY/TOOL: Integrated AIOps (AIOPS) 2) SHORT DESCRIPTION: SRM Consumer extension showing error 405 3) DESCRIPTION OF ISSUE: Some of the consumer extension showing below error. CRITICAL::root::synapps::tail() returned: 405 Client Error: Method Not Allowed for url: http://streams/windows-capacity-metrics/srm-win-srv-cons:10?tail=true" eg:srm-win-srv-cons-10 4) KYNDRYL BRIDGE CUSTOMER FOR AIOPS LOOKUP (IF KNOWN): Dr. Lal Path Labs Pvt. Ltd - DC site - dlp (BAC0002AB9-IN) es.che1 5) ORG MARKET: India 6) WATCH LIST: 7) REPORTED PRIORITY: P3 - Medium (Sev3) 8) ADDITIONAL DETAILS: PLATFORM TOOLS - INTEGRATED AIOPS (AIOPS) DETAILS 1) AIOPS LOCATION: Integrated AIOPs - IN 2) AIOPS INSTANCE: India 3) AIOPS DATA PLANE: 4) WHERE ON THE WEB PAGE IS THE ISSUE LOCATED?: Home &gt; Side bar 5) WHAT SUBCATEGORY OF THE LOCATION IS THE ISSUE RELATED TO?: Extensions 6) URL OF THE WEB PAGE DISPLAYING THE ISSUE: 7) WHAT IS THE ISSUE?: Other</t>
  </si>
  <si>
    <t>Correction request for Current POD access level under AIOPS trough ARMS tool</t>
  </si>
  <si>
    <t>Aurel Bertus</t>
  </si>
  <si>
    <t>PLATFORM TOOLS - BASIC DETAILS 1) SHORT DESCRIPTION: Correction request for Current POD access level under AIOPS trough ARMS tool 2) DESCRIPTION OF REQUEST: Hello team. ARMS is not listed as Capability tool while raising thicket thus selected AIOPS. Pod name: Network Practice-Shared Services-Rest of the World Current outdated approval set for an older functional ID: 99866558 KYNDRYL IBM SERVICES PLATFORM DX1. Details attached with ARMS tool extract Spoke with Michelle.Stewart@kyndryl.com and she advised to open ticket to have this aligned. Not sure if such approval would be for Michelle as recommended but perhaps she has more information. Please reach Network Practice Leader : UMA.MAHESWARI.Kumaraguru@kyndryl.com in order to set respective Pod approval as I am not aware who is the Pod owner. Asked Uma myself back in 8 July but there was no feedback. 3) CAPABILITY/TOOL: Integrated AIOps (AIOPS) 4) KYNDRYL BRIDGE CUSTOMER FOR AIOPS LOOKUP (IF KNOWN): Edge Network Services Limited - ewk (BAC00030A8-US) es.was1 5) ORG MARKET: UKI 6) ADDITIONAL DETAILS: Kyndryl Bridge Customer for AIOPS lookup selected a random one since field is mandatory and Pod name is not in the list. Org Market selected random one as this is set as mandatory field. this is a Pod that most probably has global coverage gross markets 7) NOTIFY: NATRAJAN BALAKRISHNAN, Senthilkumar Thiyagarajan, NAINESH DAVE 8) ATTACHMENTS (EVIDENCE, SCREENSHOTS, LOGS,ETC): ARMS-user-ou-requests Pod Network Practice-Shared Services-Rest of the World.xlsx, image - 2026-07-17T115019.148.png PLATFORM TOOLS - INTEGRATED AIOPS (AIOPS) DETAILS 1) AIOPS LOCATION: Integrated AIOPs - EU 2) AIOPS INSTANCE: Europe 3) TYPE OF REQUEST: AIOPS - ARMS</t>
  </si>
  <si>
    <t>fluentd : cii#fluentd#P-260735250-Out-of-memory kills have been observed for pods of this workload.</t>
  </si>
  <si>
    <t>Business Service: Integrated AIOps (AIOPS) Capability Tool: Integrated AIOPs - India -------------------------------------------- FirstOccurrence: 2026-07-17 09:18:17 Summary: P-260735250-Out-of-memory kills have been observed for pods of this workload. Severity: Major ResourceId: fluentd ServerSerial: 3289077 ServerName: NCO_PRI CustomerCode: cii InstanceSituation: Out-of-memory kills URL: https://arg88263.live.dynatrace.com/#problems/problemdetails;pid=-7706262158109426165_1784279700000V2 InstanceId: InstanceSituation:Out-of-memory kills URL:https://arg88263.live.dynatrace.com/#problems/problemdetails;pid=-7706262158109426165_1784279700000V2 Node:fluentd NodeAlias:{Tags[IP]} ComponentType:{Tags[OS]} OSType: AlertKey:Out-of-memory kills TicketGroup:K-PLTools-AIOPs-IN-Delivery-Support</t>
  </si>
  <si>
    <t>Inquiry Regarding EventTriage Data Retention Period and Historical Data Retrieval</t>
  </si>
  <si>
    <t>Sarah Kaye Matarong</t>
  </si>
  <si>
    <t>PLATFORM TOOLS - BASIC DETAILS 1) SHORT DESCRIPTION: Inquiry Regarding EventTriage Data Retention Period and Historical Data Retrieval 2) DESCRIPTION OF REQUEST: EventTriage data in AIOps is currently available for only approximately six months. Previously, we were able to access up to one year of historical data. Questions: * Has the data retention period changed? If so, what was the reason? * Is the six-month retention period expected behavior? * How can we obtain one year of EventTriage data for trend and data analysis? * Are there any archive or historical data retrieval options available? BUSINESS IMPACT: We need one year of EventTriage data to perform trend analysis and investigate long-term event patterns. 3) CAPABILITY/TOOL: Integrated AIOps (AIOPS) 4) KYNDRYL BRIDGE CUSTOMER FOR AIOPS LOOKUP (IF KNOWN): JACCS Co. Ltd - jcc (BAC0000F5A-JP) es.jpn1 5) ORG MARKET: Japan 6) ADDITIONAL DETAILS: 7) NOTIFY: SHIGETOMI NAOYA PLATFORM TOOLS - INTEGRATED AIOPS (AIOPS) DETAILS 1) AIOPS LOCATION: Integrated AIOPs - JP 2) AIOPS INSTANCE: Japan 3) TYPE OF REQUEST: AIOPS - General Request</t>
  </si>
  <si>
    <t>AIOps EventTriage Data Download Issue (Unable to Download 1 Month of Data)</t>
  </si>
  <si>
    <t>PLATFORM TOOLS - BASIC DETAILS 1) SHORT DESCRIPTION: AIOps EventTriage Data Download Issue (Unable to Download 1 Month of Data) 2) DESCRIPTION OF REQUEST: Hello Support Team, We are experiencing an issue with the AIOps EventTriage data download function. When attempting to download approximately one month of EventTriage data, the download process freezes and does not complete successfully. Could you please help us with the following: * Investigate the cause of this issue. * Confirm whether there are any limitations on the download period or data volume. * Advise on the recommended method to download one month of EventTriage data. * Provide any workaround if available. STEPS TO REPRODUCE: * Open AIOps EventTriage. * Select a one-month date range. * Click the download/export button. * The screen becomes unresponsive and the download does not complete. We would appreciate your guidance on how to resolve this issue. Thank you. 3) CAPABILITY/TOOL: Integrated AIOps (AIOPS) 4) KYNDRYL BRIDGE CUSTOMER FOR AIOPS LOOKUP (IF KNOWN): JACCS Co. Ltd - jcc (BAC0000F5A-JP) es.jpn1 5) ORG MARKET: Japan 6) ADDITIONAL DETAILS: 7) NOTIFY: SHIGETOMI NAOYA PLATFORM TOOLS - INTEGRATED AIOPS (AIOPS) DETAILS 1) AIOPS LOCATION: Integrated AIOPs - JP 2) AIOPS INSTANCE: Japan 3) TYPE OF REQUEST: AIOPS - General Request</t>
  </si>
  <si>
    <t>aks-aiops1z27c2e-29424009-vmss0000VN : cii#aks-aiops1z27c2e-29424009-vmss0000VN#P-260734657-Disk /var/lib/kubelet/pods/0d8603db-0614-491c-a</t>
  </si>
  <si>
    <t>Business Service: Integrated AIOps (AIOPS) Capability Tool: Integrated AIOPs - India -------------------------------------------- FirstOccurrence: 2026-07-17 05:05:19 Summary: P-260734657-Disk /var/lib/kubelet/pods/0d8603db-0614-491c-a27a-58465448db58/volumes/kubernetes.io~csi/pvc-c46a392a-a2e8-4395-a8a2-bfd030083e03/mount on aks-aiops1z27c2e-29424009-vmss0000VN slow Severity: Minor ResourceId: aks-aiops1z27c2e-29424009-vmss0000VN ServerSerial: 3288608 ServerName: NCO_PRI CustomerCode: cii InstanceSituation: Slow disk URL: https://arg88263.live.dynatrace.com/#problems/problemdetails;pid=-6694341225677343073_1784264340000V2 InstanceId: InstanceSituation:Slow disk URL:https://arg88263.live.dynatrace.com/#problems/problemdetails;pid=-6694341225677343073_1784264340000V2 Node:aks-aiops1z27c2e-29424009-vmss0000VN NodeAlias:10.114.8.35 ComponentType:Ubuntu 24.04.4 LTS (Noble Numbat OSType: AlertKey:Slow disk TicketGroup:K-PLTools-AIOPs-IN-Delivery-Support</t>
  </si>
  <si>
    <t>AIOPS offboarding - DWS VEROGUARD SYSTEM</t>
  </si>
  <si>
    <t>Prasanna Kumar S</t>
  </si>
  <si>
    <t>PLATFORM TOOLS - BASIC DETAILS 1) SHORT DESCRIPTION: AIOPS offboarding - DWS VEROGUARD SYSTEM 2) DESCRIPTION OF REQUEST: AIOPS offboarding - DWS VEROGUARD SYSTEM 3) CAPABILITY/TOOL: Integrated AIOps (AIOPS) 4) KYNDRYL BRIDGE CUSTOMER FOR AIOPS LOOKUP (IF KNOWN): vgd - DWS VEROGUARD SYSTEM - Australia - BACC70B010 5) ORG MARKET: ANZ 6) ADDITIONAL DETAILS: 7) NOTIFY: Surpur Bhimashanker 8) ATTACHMENTS (EVIDENCE, SCREENSHOTS, LOGS,ETC): AIOPS Offboarding Approval.pdf PLATFORM TOOLS - INTEGRATED AIOPS (AIOPS) DETAILS 1) AIOPS LOCATION: Integrated AIOPs - AP 2) AIOPS INSTANCE: Asia Pacific 3) TYPE OF REQUEST: AIOPS - General Request</t>
  </si>
  <si>
    <t>aks-aiops1z1b0ab-16041685-vmss0000FV : cii#aks-aiops1z1b0ab-16041685-vmss0000FV#P-260734186-Disk /var/lib/kubelet/pods/c512bb4b-96c4-4f30-b</t>
  </si>
  <si>
    <t>Business Service: Integrated AIOps (AIOPS) Capability Tool: Integrated AIOPs - India -------------------------------------------- FirstOccurrence: 2026-07-17 00:30:49 Summary: P-260734186-Disk /var/lib/kubelet/pods/c512bb4b-96c4-4f30-b72b-67a1f1dcb927/volumes/kubernetes.io~csi/pvc-5973b7cd-6e23-4942-b3b3-1246a383a34e/mount on aks-aiops1z1b0ab-16041685-vmss0000FV slow Severity: Minor ResourceId: aks-aiops1z1b0ab-16041685-vmss0000FV ServerSerial: 3288177 ServerName: NCO_PRI CustomerCode: cii InstanceSituation: Slow disk URL: https://arg88263.live.dynatrace.com/#problems/problemdetails;pid=-4725993078268169891_1784244900000V2 InstanceId: InstanceSituation:Slow disk URL:https://arg88263.live.dynatrace.com/#problems/problemdetails;pid=-4725993078268169891_1784244900000V2 Node:aks-aiops1z1b0ab-16041685-vmss0000FV NodeAlias:10.114.8.22 ComponentType:Ubuntu 24.04.4 LTS (Noble Numbat OSType: AlertKey:Slow disk TicketGroup:K-PLTools-AIOPs-IN-Delivery-Support</t>
  </si>
  <si>
    <t>Sunrise report is blank for Costco wholesale corporation</t>
  </si>
  <si>
    <t>CHINNAPPA ITNAL</t>
  </si>
  <si>
    <t>PLATFORM TOOLS - BASIC DETAILS 1) CAPABILITY/TOOL: Integrated AIOps (AIOPS) 2) SHORT DESCRIPTION: Sunrise report is blank for Costco wholesale corporation 3) DESCRIPTION OF ISSUE: please see attached blank report 4) KYNDRYL BRIDGE CUSTOMER FOR AIOPS LOOKUP (IF KNOWN): Costco Wholesale Corporation - c0c (BAC0000EC2-US) es.was1 5) ORG MARKET: USA 6) WATCH LIST: Saha Amitava 7) REPORTED PRIORITY: P3 - Medium (Sev3) 8) ADDITIONAL DETAILS: 9) ATTACHMENTS (EVIDENCE, SCREENSHOTS, LOGS,ETC): image (5).png PLATFORM TOOLS - INTEGRATED AIOPS (AIOPS) DETAILS 1) AIOPS LOCATION: Integrated AIOPs - Global 2) AIOPS INSTANCE: Global 3) AIOPS DATA PLANE: Azure Cloud 4) WHERE ON THE WEB PAGE IS THE ISSUE LOCATED?: Home &gt; Side bar 5) WHAT SUBCATEGORY OF THE LOCATION IS THE ISSUE RELATED TO?: home &gt; side_bar &gt; Sunrise Insights 6) URL OF THE WEB PAGE DISPLAYING THE ISSUE: https://www.kyndryl.com/bridge/aiops/home/SunriseDashboard 7) WHAT IS THE ISSUE?: Missing data</t>
  </si>
  <si>
    <t>Data missing in CACF- Automation Performance Dashboard</t>
  </si>
  <si>
    <t>SATYAJIT ROY</t>
  </si>
  <si>
    <t>PLATFORM TOOLS - BASIC DETAILS 1) CAPABILITY/TOOL: Integrated AIOps (AIOPS) 2) SHORT DESCRIPTION: Data missing in CACF- Automation Performance Dashboard 3) DESCRIPTION OF ISSUE: Data missing in CACF- Automation Performance Dashboard If I would like to see TASK LEVEL DETAILS section beyond 24 hrs data - I see only last 24 hrs data. Even if I select 7 days, 15 days and 30 days data view - no change in the TASK LEVEL DETAILS SECTION, appears that widget is not getting refreshed. 4) KYNDRYL BRIDGE CUSTOMER FOR AIOPS LOOKUP (IF KNOWN): Dow Inc - dow (BAC000104B-US) es.was1 5) ORG MARKET: US Shared 6) WATCH LIST: Sakaria Kaushlendra 7) REPORTED PRIORITY: P2 - High (Sev2) 8) ADDITIONAL DETAILS: PLATFORM TOOLS - INTEGRATED AIOPS (AIOPS) DETAILS 1) AIOPS LOCATION: Integrated AIOPs - NA 2) AIOPS INSTANCE: Americas 3) AIOPS DATA PLANE: https://www.kyndryl.com/bridge/aiops/insights/dashboard/fe87d21b-af11-49fc-af52-cc886c9b94ce/ 4) WHERE ON THE WEB PAGE IS THE ISSUE LOCATED?: Home &gt; Header &gt; Insights &gt; Dashboards 5) WHAT SUBCATEGORY OF THE LOCATION IS THE ISSUE RELATED TO?: CACF: Automation Performance Dashboard 6) URL OF THE WEB PAGE DISPLAYING THE ISSUE: https://www.kyndryl.com/bridge/aiops/insights/dashboard/fe87d21b-af11-49fc-af52-cc886c9b94ce/ 7) WHAT IS THE ISSUE?: Missing data</t>
  </si>
  <si>
    <t>PL_Tools Request - Inventory Service (IS)</t>
  </si>
  <si>
    <t>Swapna Thopireddy</t>
  </si>
  <si>
    <t>PLATFORM TOOLS - BASIC DETAILS 1) SHORT DESCRIPTION: Total Inventory performance is showing Zero Percentage for GNPP 2) DESCRIPTION OF REQUEST: The Total Inventory performance is displaying zero percent for GNPP, even though all mandatory fields have been updated. Please check the issue and resolve it. Attaching inventory for your reference OU : GCS - N&amp;E - GNPP, Global (GCSNNWPWW-GNPP) 3) CAPABILITY/TOOL: Inventory Service (IS) 4) ACCOUNT LOOKUP (IF KNOWN): *Not a customer account / not found 5) GSMA CODE: 6) NAME: GCS - N&amp;E - GNPP, Global (GCSNNWPWW-GNPP) 7) BAC / BAM ID: 8) COUNTRY: 9) ORG MARKET: India 10) ADDITIONAL DETAILS: The Total Inventory performance is displaying zero percent for GNPP, even though all mandatory fields have been updated. Please check the issue and resolve it. Attaching inventory for your reference OU : GCS - N&amp;E - GNPP, Global (GCSNNWPWW-GNPP) 11) NOTIFY: 12) ATTACHMENTS (EVIDENCE, SCREENSHOTS, LOGS,ETC): inventory_network_2026-06-15-11_34_47_AM_BAC0003373-WW_v1779926400000.csv, image (15).png PLATFORM TOOLS - INVENTORY SERVICE (IS) DETAILS 1) LOCATION OF CAPABILITY/TOOL INSTANCE: EU_Sharedâ€‹ 2) TYPE OF REQUEST: General Request</t>
  </si>
  <si>
    <t>Susan Priscilla Vega Solano</t>
  </si>
  <si>
    <t>PLATFORM TOOLS - BASIC DETAILS 1) CAPABILITY/TOOL: Integrated AIOps (AIOPS) 2) SHORT DESCRIPTION: Banco CSF - Issues with Connected Experience widgets - DSG0000089 3) DESCRIPTION OF ISSUE: The widgets in the DWS Connected Experience dashboard related to Service Management, which should be enabled after activating the Endâ€‘User Incidents dashboard, are currently displaying empty. Meanwhile, the Endâ€‘User Incident Insights dashboard is showing data and functioning as expected, but those widgets are not showing data in the Connected Experience dashboard. 4) KYNDRYL BRIDGE CUSTOMER FOR AIOPS LOOKUP (IF KNOWN): *Not a customer account / not found 5) GSMA CODE: df0 6) NAME: Banco CSF S/A 7) BAC / BAM ID: DSG0000089 8) COUNTRY: Brazil 9) ORG MARKET: Strategic Markets 10) WATCH LIST: Lourenco Glauce Kelly 11) REPORTED PRIORITY: P3 - Medium (Sev3) 12) ADDITIONAL DETAILS: 13) ATTACHMENTS (EVIDENCE, SCREENSHOTS, LOGS,ETC): Banco CSF_Conn_Exp.pdf PLATFORM TOOLS - INTEGRATED AIOPS (AIOPS) DETAILS 1) AIOPS LOCATION: Integrated AIOPs - Global 2) AIOPS INSTANCE: Global 3) AIOPS DATA PLANE: 4) WHERE ON THE WEB PAGE IS THE ISSUE LOCATED?: Home &gt; Header &gt; Home 5) WHAT SUBCATEGORY OF THE LOCATION IS THE ISSUE RELATED TO?: Please enter text or url of the in Additional details 6) URL OF THE WEB PAGE DISPLAYING THE ISSUE: https://www.kyndryl.com/bridge/aiops/digital-workplace-management/ 7) WHAT IS THE ISSUE?: Missing data</t>
  </si>
  <si>
    <t>PLATFORM TOOLS - BASIC DETAILS 1) CAPABILITY/TOOL: Integrated AIOps (AIOPS) 2) SHORT DESCRIPTION: KRI Data Collection Monitoring Dashboard/ Data format of Latest Elastic Update UTC column. 3) DESCRIPTION OF ISSUE: 1)The date format in the _Latest Elastic Update UTC_ column within the _Latest Jobs per Backup Server_ table on the KRI Data Collection Monitoring Dashboard appears to be incorrect (e.g., 2 June 2026@02:33) 2) * The date format in the _INSERT_TS_UTC_ column within the _BAAS: Replication Policy Report_ under _Replication Activity_ appears to be incorrect (e.g., Jun 1, 2026 @ 22.40.53.990) 4) KYNDRYL BRIDGE CUSTOMER FOR AIOPS LOOKUP (IF KNOWN): *Not a customer account / not found 5) GSMA CODE: 6) NAME: 7) BAC / BAM ID: 8) COUNTRY: 9) ORG MARKET: Italy 10) WATCH LIST: 11) REPORTED PRIORITY: P4 - Low (Sev4) 12) ADDITIONAL DETAILS: 13) ATTACHMENTS (EVIDENCE, SCREENSHOTS, LOGS,ETC): image - 2026-06-15T160858.951.png, image - 2026-06-15T161121.261.png, image - 2026-06-15T161221.665.png, image - 2026-06-15T161353.640.png PLATFORM TOOLS - INTEGRATED AIOPS (AIOPS) DETAILS 1) AIOPS LOCATION: Integrated AIOPs - EU 2) AIOPS INSTANCE: Europe 3) AIOPS DATA PLANE: 4) WHERE ON THE WEB PAGE IS THE ISSUE LOCATED?: Home &gt; Header &gt; Insights &gt; Dashboards 5) WHAT SUBCATEGORY OF THE LOCATION IS THE ISSUE RELATED TO?: GRF - Europe 6) URL OF THE WEB PAGE DISPLAYING THE ISSUE: 7) WHAT IS THE ISSUE?: Incorrect data</t>
  </si>
  <si>
    <t>Issues with BPS F1</t>
  </si>
  <si>
    <t>Diego Jonatan Botero Rozo</t>
  </si>
  <si>
    <t>PLATFORM TOOLS - BASIC DETAILS 1) CAPABILITY/TOOL: Integrated AIOps (AIOPS) 2) SHORT DESCRIPTION: Issues with BPS F1 3) DESCRIPTION OF ISSUE: The automation is running OK , uploading the data to SFS, but is not reflected at the F1. Please see the attached evidence 4) KYNDRYL BRIDGE CUSTOMER FOR AIOPS LOOKUP (IF KNOWN): Banco Compartir - b4n (BAC0002DF1-CO) es.was1 5) ORG MARKET: Strategic Markets 6) WATCH LIST: Henin Javier Nicolas 7) REPORTED PRIORITY: P4 - Low (Sev4) 8) ADDITIONAL DETAILS: 9) ATTACHMENTS (EVIDENCE, SCREENSHOTS, LOGS,ETC): b4nAIOPS.docx PLATFORM TOOLS - INTEGRATED AIOPS (AIOPS) DETAILS 1) AIOPS LOCATION: Integrated AIOPs - NA 2) AIOPS INSTANCE: Americas 3) AIOPS DATA PLANE: 4) WHERE ON THE WEB PAGE IS THE ISSUE LOCATED?: Home &gt; IT Health Indicators 5) WHAT SUBCATEGORY OF THE LOCATION IS THE ISSUE RELATED TO?: Best Practice Performance 6) URL OF THE WEB PAGE DISPLAYING THE ISSUE: 7) WHAT IS THE ISSUE?: Missing data</t>
  </si>
  <si>
    <t>SNOW INC extension keeps re-ingesting same INC</t>
  </si>
  <si>
    <t>HENRY MOLINA</t>
  </si>
  <si>
    <t>PLATFORM TOOLS - BASIC DETAILS 1) CAPABILITY/TOOL: Integrated AIOps (AIOPS) 2) SHORT DESCRIPTION: SNOW INC extension keeps re-ingesting same INC 3) DESCRIPTION OF ISSUE: We are using the ServiceNow Incident Source with Custom Query extension, currently ingesting INC tickets. Historically I noticed that when it used to ingest a ticket it would do so only once and say something like 0 new tickets. Nowadays I notice that it finds a ticket .... and every time it checks it finds it again and tries to ingest it again ... this has a run off effect on things like our ChatOPS trying to retrigger on old tickets over and over, why is our extension not realizing that it's an already discovered / ingested INC and skip the ingestion process ? I provided an example of a ticket that keeps trying to get ingested: IN26022763781 4) KYNDRYL BRIDGE CUSTOMER FOR AIOPS LOOKUP (IF KNOWN): Fidelity Information Services Australasia (formerly Certegy) - cta (BAC00006FF-AU) es.syd1 5) ORG MARKET: ANZ 6) WATCH LIST: 7) REPORTED PRIORITY: P3 - Medium (Sev3) 8) ADDITIONAL DETAILS: 9) ATTACHMENTS (EVIDENCE, SCREENSHOTS, LOGS,ETC): inc-evidence.jpg PLATFORM TOOLS - INTEGRATED AIOPS (AIOPS) DETAILS 1) AIOPS LOCATION: Integrated AIOPs - AP 2) AIOPS INSTANCE: Asia Pacific 3) AIOPS DATA PLANE: 4) WHERE ON THE WEB PAGE IS THE ISSUE LOCATED?: Home &gt; Header &gt; Enablement &gt; Common Catalog 5) WHAT SUBCATEGORY OF THE LOCATION IS THE ISSUE RELATED TO?: Extensions 6) URL OF THE WEB PAGE DISPLAYING THE ISSUE: https://www.kyndryl.com/bridge/aiops/extensions/config/view/1df76788-7059-4c2c-bbf9-45483fc442db 7) WHAT IS THE ISSUE?: Component failure</t>
  </si>
  <si>
    <t>(All)</t>
  </si>
  <si>
    <t>oe1#P-260742750-Packet retransmission rate for process producer.py stl-cics-ext-*-* (stl-cics-ext-01</t>
  </si>
  <si>
    <t>Business Service: Integrated AIOps (AIOPS) Capability Tool: Integrated AIOPs - EU -------------------------------------------- FirstOccurrence: 2026-07-20 11:01:37 Summary: P-260742750-Packet retransmission rate for process producer.py stl-cics-ext-*-* (stl-cics-ext-01-29742399-dk868) on host aks-aiopsz3euprd-20466836-vmss00001A has increased to 16.47 % Severity: Major ResourceId: producer.py stl-cics-ext-*-* (stl-cics-ext-01-29742399-dk868) ServerSerial: 10584074 ServerName: NCO_PRI CustomerCode: oe1 InstanceSituation: Network problem URL: https://arg88263.live.dynatrace.com/#problems/problemdetails;pid=-7477089484351354949_1784544961072V2 NodeAlias: {Tags[IP]} ComponentType: {Tags[OS]} OSType: AlertKey: Network problem TicketGroup: K-PLTools-AIOPs-EU-Delivery-Support</t>
  </si>
  <si>
    <t>op3#ama-logs#Cleared and Re-fired: P-260742748-Out-of-memory kills have been observed for pods of th</t>
  </si>
  <si>
    <t>Business Service: Integrated AIOps (AIOPS) Capability Tool: Integrated AIOPs - Americas -------------------------------------------- FirstOccurrence: 2026-07-20 07:02:21 Summary: Cleared and Re-fired: P-260742748-Out-of-memory kills have been observed for pods of this workload. Severity: Major ResourceId: ama-logs ServerSerial: 10581607 ServerName: NCO_PRI CustomerCode: op3 InstanceSituation: Out-of-memory kills URL: https://arg88263.live.dynatrace.com/#problems/problemdetails;pid=5419018842958568859_1784530740000V2 NodeAlias: {Tags[IP]} ComponentType: {Tags[OS]} OSType: AlertKey: Out-of-memory kills TicketGroup: K-PLTools-AIOPs-Americas-Delivery-Support</t>
  </si>
  <si>
    <t>op3#streams-vault#Cleared and Re-fired: P-260742745-Out-of-memory kills have been observed for pods</t>
  </si>
  <si>
    <t>FirstOccurrence: 2026-07-20 09:45:26 Summary: Cleared and Re-fired: P-260742745-Out-of-memory kills have been observed for pods of this workload. Severity: Major ResourceId: streams-vault ServerSerial: 10583109 ServerName: NCO_PRI CustomerCode: op3 InstanceSituation: Out-of-memory kills URL: https://arg88263.live.dynatrace.com/#problems/problemdetails;pid=451182458015987566_1784540520000V2</t>
  </si>
  <si>
    <t>The tool source NETCOOL-MAPPS-SHARED-US[Extension] has not refreshed for the AG region under Events for 16 out of 18 accounts.</t>
  </si>
  <si>
    <t>VAISHNAVI PRABHU</t>
  </si>
  <si>
    <t>The tool source NETCOOL-MAPPS-SHARED-US[Extension] has not refreshed for the AG region under Events for 16 out of 18 accounts.The account details are provided in the excel sheet attached.</t>
  </si>
  <si>
    <t>oe1#aks-aiopsz2euprd-20893877-vmss00001I#P-260742728-CPU idle threshold below 5%</t>
  </si>
  <si>
    <t>Business Service: Integrated AIOps (AIOPS) Capability Tool: Integrated AIOPs - EU -------------------------------------------- FirstOccurrence: 2026-07-20 10:47:28 Summary: P-260742728-CPU idle threshold below 5% Severity: Minor ResourceId: aks-aiopsz2euprd-20893877-vmss00001I ServerSerial: 10583950 ServerName: NCO_PRI CustomerCode: oe1 InstanceSituation: CPU Saturation URL: https://arg88263.live.dynatrace.com/#problems/problemdetails;pid=5681671511124701882_1784540719608V2 NodeAlias: 10.130.136.14 ComponentType: Ubuntu 24.04.4 LTS (Noble Numbat OSType: AlertKey: CPU Saturation TicketGroup: K-PLTools-AIOPs-EU-Delivery-Support</t>
  </si>
  <si>
    <t>oe1#isf-ado-bps#Cleared and Re-fired: P-260739644-net.sf.saxon.trans.XPathException: Invalid JSON in</t>
  </si>
  <si>
    <t>Business Service: Integrated AIOps (AIOPS) Capability Tool: Integrated AIOPs - EU -------------------------------------------- FirstOccurrence: 2026-07-19 07:39:08 Summary: Cleared and Re-fired: P-260739644-net.sf.saxon.trans.XPathException: Invalid JSON input on line 1: An empty string is not valid JSONInvalid JSON input on line 1: An empty string is not valid JSON Severity: Major ResourceId: isf-ado-bps ServerSerial: 10567346 ServerName: NCO_PRI CustomerCode: oe1 InstanceSituation: Name: isf-ado-bps URL: https://arg88263.live.dynatrace.com/#problems/problemdetails;pid=-8982321042800916436_1784446725366V2 NodeAlias: {Tags[IP]} ComponentType: {Tags[OS]} OSType: AlertKey: Name: isf-ado-bps TicketGroup: K-PLTools-AIOPs-EU-Delivery-Support</t>
  </si>
  <si>
    <t>Not able to fetch the API result in Widget Buildergetting the below error. HTTP 401</t>
  </si>
  <si>
    <t>PLATFORM TOOLS - BASIC DETAILS 1) CAPABILITY/TOOL: Integrated AIOps (AIOPS) 2) SHORT DESCRIPTION: Not able to fetch the API result in Widget Buildergetting the below error. HTTP 401 3) DESCRIPTION OF ISSUE: After taking all the required access in ARMS.. Still not able to fetch the API result in Widget Buildergetting the below error. HTTP 401. As suggested by Rajat.Toshniwal1@kyndryl.com we have raising this case. Kindly provide the solution at the earlist. Not able to Attach the .HAR file if the file is needed kindly reach out to me, 4) KYNDRYL BRIDGE CUSTOMER FOR AIOPS LOOKUP (IF KNOWN): Honda (HMSI) - hmi (BAC00024C9-IN) es.che1 5) ORG MARKET: India 6) WATCH LIST: K DEEPA, Danish Shakeel, PATHAN ASHID 7) REPORTED PRIORITY: P3 - Medium (Sev3) 8) ADDITIONAL DETAILS: PLATFORM TOOLS - INTEGRATED AIOPS (AIOPS) DETAILS 1) AIOPS LOCATION: Integrated AIOPs - IN 2) AIOPS INSTANCE: India 3) AIOPS DATA PLANE: 4) WHERE ON THE WEB PAGE IS THE ISSUE LOCATED?: Home &gt; Header &gt; Home 5) WHAT SUBCATEGORY OF THE LOCATION IS THE ISSUE RELATED TO?: Dashboard 6) URL OF THE WEB PAGE DISPLAYING THE ISSUE: 7) WHAT IS THE ISSUE?: Other</t>
  </si>
  <si>
    <t>There is no data showing in AIOPS Performance Dashboard or Executive Dashboard for last 24 hours. Filter applied 19-7-2026 00:00:00 to 20-7-2026 00:00:00</t>
  </si>
  <si>
    <t>Stalin Thangaraju</t>
  </si>
  <si>
    <t>PLATFORM TOOLS - BASIC DETAILS 1) CAPABILITY/TOOL: Integrated AIOps (AIOPS) 2) SHORT DESCRIPTION: There is no data showing in AIOPS Performance Dashboard or Executive Dashboard for last 24 hours. Filter applied 19-7-2026 00:00:00 to 20-7-2026 00:00:00 3) DESCRIPTION OF ISSUE: There is no data showing in AIOPS Performance Dashboard or Executive Dashboard for last 24 hours. Filter applied 19-7-2026 00:00:00 to 20-7-2026 00:00:00 1) AIOPS -&gt; Insights -&gt; Dashboard -&gt; Automation -&gt; AUTOMATION PERFORMANCE DASHBOARD or 1) AIOPS -&gt; Insights -&gt; Dashboard -&gt; Automation -&gt; AUTOMATION EXCEUTIVE DASHBOARD 4) KYNDRYL BRIDGE CUSTOMER FOR AIOPS LOOKUP (IF KNOWN): MICHELIN - mic (BAC0003419-FR) es.ams1 5) ORG MARKET: France 6) WATCH LIST: Thiyagarajan Hemalatha, Livingstone A Barnabas, Durairaj Saravanesh, R RAJKUMAR 7) REPORTED PRIORITY: P3 - Medium (Sev3) 8) ADDITIONAL DETAILS: 9) ATTACHMENTS (EVIDENCE, SCREENSHOTS, LOGS,ETC): Screenshot 2026-07-20 131327_1.jpg PLATFORM TOOLS - INTEGRATED AIOPS (AIOPS) DETAILS 1) AIOPS LOCATION: Integrated AIOPs - EU 2) AIOPS INSTANCE: Europe 3) AIOPS DATA PLANE: 4) WHERE ON THE WEB PAGE IS THE ISSUE LOCATED?: Home &gt; Header &gt; Actionable Insights 5) WHAT SUBCATEGORY OF THE LOCATION IS THE ISSUE RELATED TO?: Automation 6) URL OF THE WEB PAGE DISPLAYING THE ISSUE: https://www.kyndryl.com/bridge/aiops/insights/dashboard/fe87d21b-af11-49fc-af52-cc886c9b94ce/ 7) WHAT IS THE ISSUE?: Missing data</t>
  </si>
  <si>
    <t>Agent Offline Incident Tickets not coming in AIOPS</t>
  </si>
  <si>
    <t>Swaraj Datta</t>
  </si>
  <si>
    <t>PLATFORM TOOLS - BASIC DETAILS 1) CAPABILITY/TOOL: Integrated AIOps (AIOPS) 2) SHORT DESCRIPTION: Agent Offline Incident Tickets not coming in AIOPS 3) DESCRIPTION OF ISSUE: Agent Offline incident tickets are not coming in AIOPS. Incident tickets related to other issues, e.g., disk-capacity, memory usage, CPU usage, are coming in AIOPS, problem is only with Agent Offline tickets. We have a dedicated ICD tool used for ticketing in our account. Last agent offline ticket showing in AIOPS is dated 6-July. 4) KYNDRYL BRIDGE CUSTOMER FOR AIOPS LOOKUP (IF KNOWN): Gujarat Co-Operative Milk Marketing Federation - gcm (BAC0000B63-IN) es.che1 5) ORG MARKET: India 6) WATCH LIST: Makwana Amit, KAMATH SHAILESH, Chitrambalam Radhakrishnan 7) REPORTED PRIORITY: P3 - Medium (Sev3) 8) ADDITIONAL DETAILS: Last 30 days ticket dump from AIOPS and ICD have been attached. This is affecting our RCC score. 9) ATTACHMENTS (EVIDENCE, SCREENSHOTS, LOGS,ETC): Incident Table Data07_20_2026.xlsx, 40199136.xlsx PLATFORM TOOLS - INTEGRATED AIOPS (AIOPS) DETAILS 1) AIOPS LOCATION: Integrated AIOPs - IN 2) AIOPS INSTANCE: India 3) AIOPS DATA PLANE: Pervasive Insights 4) WHERE ON THE WEB PAGE IS THE ISSUE LOCATED?: Home &gt; Landing Page &gt; Incident 5) WHAT SUBCATEGORY OF THE LOCATION IS THE ISSUE RELATED TO?: Incidents per server per month 6) URL OF THE WEB PAGE DISPLAYING THE ISSUE: https://www.kyndryl.com/bridge/aiops/home/pervasiveDashboard 7) WHAT IS THE ISSUE?: Missing data</t>
  </si>
  <si>
    <t>JiÅ™Ã­ KuÅ¾ela</t>
  </si>
  <si>
    <t>BYRON KUHN</t>
  </si>
  <si>
    <t>PLATFORM TOOLS - BASIC DETAILS 1) CAPABILITY/TOOL: Integrated AIOps (AIOPS) 2) SHORT DESCRIPTION: Errors in Mainframe Categorization on Pervasive Dashboard 3) DESCRIPTION OF ISSUE: There are errors in the Mainframe categorizations for INC on Pervasive dashboard. They aren't reporting categories properly, especially MF_Software. The system appears to be "dumping" items that don't fall into one of the other Categories into MF_Software. Additionally, Mainframe categories are not properly categorizing tickets into appropriate groups. It's mis-categorizing Database and Storage issues into other groups. Security Elements are spread throughout many groups and not properly being consolidated into MF_Security. A number of tickets receive No Categorization when they fit into existing categories. Sample screenshots included here of tickets with Categorization and Short Description and Assignment group highlight trouble areas. 4) KYNDRYL BRIDGE CUSTOMER FOR AIOPS LOOKUP (IF KNOWN): American Express - amx (BAC000101B-US) es.was1 5) ORG MARKET: US Shared 6) WATCH LIST: 7) REPORTED PRIORITY: P2 - High (Sev2) 8) ADDITIONAL DETAILS: Screenshots are a sample set, not all. 9) ATTACHMENTS (EVIDENCE, SCREENSHOTS, LOGS,ETC): Screenshot 2026-06-17 at 10.15.29â€¯AM.png, Screenshot 2026-06-17 at 10.17.12â€¯AM.png, Screenshot 2026-06-17 at 10.18.23â€¯AM.png, Screenshot 2026-06-17 at 10.16.29â€¯AM.png, Screenshot 2026-06-17 at 10.23.51â€¯AM.png, Screenshot 2026-06-17 at 10.24.11â€¯AM.png, Screenshot 2026-06-17 at 10.18.53â€¯AM.png, Screenshot 2026-06-17 at 10.24.02â€¯AM.png, Screenshot 2026-06-17 at 10.24.51â€¯AM.png, Screenshot 2026-06-17 at 10.24.27â€¯AM.png, Screenshot 2026-06-17 at 10.26.00â€¯AM.png, Screenshot 2026-06-17 at 10.25.56â€¯AM.png, Screenshot 2026-06-17 at 10.28.12â€¯AM.png, Screenshot 2026-06-17 at 10.28.17â€¯AM.png, Screenshot 2026-06-17 at 10.26.32â€¯AM.png, Screenshot 2026-06-17 at 10.26.58â€¯AM.png, Screenshot 2026-06-17 at 10.25.51â€¯AM.png, Screenshot 2026-06-17 at 10.25.42â€¯AM.png, Screenshot 2026-06-17 at 10.27.40â€¯AM.png, Screenshot 2026-06-17 at 10.26.50â€¯AM.png, Screenshot 2026-06-17 at 10.29.33â€¯AM.png, Screenshot 2026-06-17 at 10.30.20â€¯AM.png, Screenshot 2026-06-17 at 10.30.15â€¯AM.png, Screenshot 2026-06-17 at 10.28.22â€¯AM.png PLATFORM TOOLS - INTEGRATED AIOPS (AIOPS) DETAILS 1) AIOPS LOCATION: Integrated AIOPs - NA 2) AIOPS INSTANCE: Americas 3) AIOPS DATA PLANE: 4) WHERE ON THE WEB PAGE IS THE ISSUE LOCATED?: Home &gt; Header &gt; Insights &gt; Dashboards 5) WHAT SUBCATEGORY OF THE LOCATION IS THE ISSUE RELATED TO?: Pervasive Management 6) URL OF THE WEB PAGE DISPLAYING THE ISSUE: https://www.kyndryl.com/bridge/aiops/home/pervasiveDashboard 7) WHAT IS THE ISSUE?: Incorrect data</t>
  </si>
  <si>
    <t>op3#AIOPS - Data Plane Network Connectivity (WAS1)#P-260742225-Http monitor global outage of AIOPS \</t>
  </si>
  <si>
    <t>Business Service: Integrated AIOps (AIOPS) Capability Tool: Integrated AIOPs - Americas -------------------------------------------- FirstOccurrence: 2026-07-20 08:13:27 Summary: P-260742225-Http monitor global outage of AIOPS \- WAS 1 Data Plane Network Connectivity synthetic monitor configured in 3 locations|Location|Step|Failure details||:--|:--|:--||Frankfurt|1|Response status code rules violated, 504: Gateway timeout \(504\)| Severity: Critical ResourceId: AIOPS - Data Plane Network Connectivity (WAS1) ServerSerial: 10582332 ServerName: NCO_PRI CustomerCode: op3 InstanceId: {Tags[ProcessGroup]} InstanceSituation: Http monitor global outage URL: https://arg88263.live.dynatrace.com/#problems/problemdetails;pid=-976472065213848932_1784535151946V2 NodeAlias: {Tags[IP]} ComponentType: {Tags[Kubernetes_namespace]} OSType: AlertKey: Http monitor global outage TicketGroup: K-PLTools-AIOPs-Americas-Delivery-Support</t>
  </si>
  <si>
    <t>Please investigate / provide logs for NGINX Ingress - message sent by customer didn't reach extensions</t>
  </si>
  <si>
    <t>Jan Schafer</t>
  </si>
  <si>
    <t>PLATFORM TOOLS - BASIC DETAILS 1) SHORT DESCRIPTION: Please investigate / provide logs for NGINX Ingress - message sent by customer didn't reach extensions 2) DESCRIPTION OF REQUEST: In order to investigate PR10000952 (reported in emea GLPI, under restricted UFST entity), please provide logs or explanation of HTTP 400 errors returned by Ingress for following extensions / cases: 03.07.2026 10:15:46 CEST - POST https://7d6f3983bee6.1.account.delivery.kyndryl.net/ufst-ch-in/ 03.07.2026 11:14:02 CEST - POST https://7d6f3983bee6.1.account.delivery.kyndryl.net/ufst-ch-in/ 07.07.2026 01:43:28 CEST - POST https://7d6f3983bee6.1.account.delivery.kyndryl.net/ufst-inc-in/ 07.07.2026 14:07:36 CEST - POST https://7d6f3983bee6.1.account.delivery.kyndryl.net/ufst-inc-in/ For multiple UFST extensions, customer reports generic HTTP 400 errors returned by nginx ingress. At reported time, extension logs and monitoring view don't show any anomalies, such as peaks or restarts, so the extension pods were most likely running normally. Customer requested investigation and actions to fix the recurring issues. CONSIDERING THE LOG RETENTION (ASSUMING 30 DAYS AS EXTENSION STANDARD LOGS) AND RELATIVELY SIMPLE ACTION TO GET THE REQUIRED INGRESS LOGS, COULD YOU PLEASE PROCESS THE REQUEST BEFORE LOGS ARE EXTENSION SERVICE LOST? 3) CAPABILITY/TOOL: Integrated AIOps (AIOPS) 4) KYNDRYL BRIDGE CUSTOMER FOR AIOPS LOOKUP (IF KNOWN): UFST eIndkomst - ske (BAC0000A0D-DK) es.ams1 5) ORG MARKET: Strategic Markets 6) ADDITIONAL DETAILS: Payload sent by customer didn't reach PUSH extensions providing integration between customer Remedy and GLPI. There is a private network connection set, customer target IP is set as to: {"ip":"138.95.224.88","host":"ibmprod.prinsa.ccta.dk"} Customer reported following response for the requests: &lt;html&gt; &lt;head&gt;&lt;title&gt;400 Bad Request&lt;/title&gt;&lt;/head&gt; &lt;body&gt; &lt;center&gt;&lt;h1&gt;400 Bad Request&lt;/h1&gt;&lt;/center&gt; &lt;hr&gt;&lt;center&gt;nginx&lt;/center&gt; &lt;/body&gt; &lt;/html&gt; 7) NOTIFY: PLATFORM TOOLS - INTEGRATED AIOPS (AIOPS) DETAILS 1) AIOPS LOCATION: Integrated AIOPs - EU 2) AIOPS INSTANCE: Europe 3) TYPE OF REQUEST: AIOPS - General Request</t>
  </si>
  <si>
    <t>CACF dashboards not refreshed</t>
  </si>
  <si>
    <t>Alicja Witman</t>
  </si>
  <si>
    <t>PLATFORM TOOLS - BASIC DETAILS 1) CAPABILITY/TOOL: Integrated AIOps (AIOPS) 2) SHORT DESCRIPTION: CACF dashboards not refreshed 3) DESCRIPTION OF ISSUE: Hello, I noticed that a lot of CACF jobs are not reflected in AIOPS dashboards for the last 24 hours which results in a drop in Total Automation performance for the account. The jobs are running in the Ansible Tower normally. 4) KYNDRYL BRIDGE CUSTOMER FOR AIOPS LOOKUP (IF KNOWN): Belfius Group - bfg, bin, bel (BGC0002312) es.ams1 5) ORG MARKET: Strategic Markets 6) WATCH LIST: 7) REPORTED PRIORITY: P3 - Medium (Sev3) 8) ADDITIONAL DETAILS: 9) ATTACHMENTS (EVIDENCE, SCREENSHOTS, LOGS,ETC): Screenshot 2026-07-20 101112.png, Screenshot 2026-07-20 102453.png, Screenshot 2026-07-20 101315.png PLATFORM TOOLS - INTEGRATED AIOPS (AIOPS) DETAILS 1) AIOPS LOCATION: Integrated AIOPs - EU 2) AIOPS INSTANCE: Europe 3) AIOPS DATA PLANE: 4) WHERE ON THE WEB PAGE IS THE ISSUE LOCATED?: Home &gt; Header &gt; Insights &gt; Dashboards &gt; All Dashboards 5) WHAT SUBCATEGORY OF THE LOCATION IS THE ISSUE RELATED TO?: Automation Execution Dashboard 6) URL OF THE WEB PAGE DISPLAYING THE ISSUE: 7) WHAT IS THE ISSUE?: Missing data</t>
  </si>
  <si>
    <t>Total Automation Score showing incorrect on TAP 2.0 dashboard</t>
  </si>
  <si>
    <t>Rizwan Mohammed</t>
  </si>
  <si>
    <t>PLATFORM TOOLS - BASIC DETAILS 1) CAPABILITY/TOOL: Integrated AIOps (AIOPS) 2) SHORT DESCRIPTION: Total Automation Score showing incorrect on TAP 2.0 dashboard 3) DESCRIPTION OF ISSUE: Total Automation Score showing incorrect on TAP 2.0 dashboard . Standard Services score has significantly dropped between Friday 17th July and Monday 20th July 4) KYNDRYL BRIDGE CUSTOMER FOR AIOPS LOOKUP (IF KNOWN): Royal Enfield - em1 (BAC000303C-IN) es.che1 5) ORG MARKET: India 6) WATCH LIST: 7) REPORTED PRIORITY: P2 - High (Sev2) 8) ADDITIONAL DETAILS: Multiple accounts have been affected and kindly contact Saurabh.Mahajan@kyndryl.com for further details. PLATFORM TOOLS - INTEGRATED AIOPS (AIOPS) DETAILS 1) AIOPS LOCATION: Integrated AIOPs - Global 2) AIOPS INSTANCE: Global 3) AIOPS DATA PLANE: 4) WHERE ON THE WEB PAGE IS THE ISSUE LOCATED?: Home &gt; Header &gt; Actionable Insights 5) WHAT SUBCATEGORY OF THE LOCATION IS THE ISSUE RELATED TO?: Dashboard 6) URL OF THE WEB PAGE DISPLAYING THE ISSUE: 7) WHAT IS THE ISSUE?: Incorrect data</t>
  </si>
  <si>
    <t>Martin BabiÅ¡ta</t>
  </si>
  <si>
    <t>Automation data not flowing into AIOps for Germany market</t>
  </si>
  <si>
    <t>Mateusz RÄ™beliÅ„ski</t>
  </si>
  <si>
    <t>PLATFORM TOOLS - BASIC DETAILS 1) CAPABILITY/TOOL: Integrated AIOps (AIOPS) 2) SHORT DESCRIPTION: Automation data not flowing into AIOps for Germany market 3) DESCRIPTION OF ISSUE: Automation data not flowing into AIOps for Germany market... Shared and dedicated CACF accounts impacted. Amos as example. 4) KYNDRYL BRIDGE CUSTOMER FOR AIOPS LOOKUP (IF KNOWN): AMOS - ao1 (BAC00024B3-DE) es.ams1 5) ORG MARKET: Germany 6) WATCH LIST: HÃ¶lscher Gregor, GwÃ³ÅºdÅº Szymon, Cvitkovic Stjepan 7) REPORTED PRIORITY: P2 - High (Sev2) 8) ADDITIONAL DETAILS: PLATFORM TOOLS - INTEGRATED AIOPS (AIOPS) DETAILS 1) AIOPS LOCATION: Integrated AIOPs - EU 2) AIOPS INSTANCE: Europe 3) AIOPS DATA PLANE: 4) WHERE ON THE WEB PAGE IS THE ISSUE LOCATED?: Home &gt; Header &gt; Automation &gt; Actions 5) WHAT SUBCATEGORY OF THE LOCATION IS THE ISSUE RELATED TO?: Automation 6) URL OF THE WEB PAGE DISPLAYING THE ISSUE: 7) WHAT IS THE ISSUE?: Missing data</t>
  </si>
  <si>
    <t>Multiple Dashboards - no data flow from 19 July</t>
  </si>
  <si>
    <t>Barnabas Livingstone A</t>
  </si>
  <si>
    <t>PLATFORM TOOLS - BASIC DETAILS 1) CAPABILITY/TOOL: Integrated AIOps (AIOPS) 2) SHORT DESCRIPTION: Multiple Dashboards - no data flow from 19 July 3) DESCRIPTION OF ISSUE: Multiple Dashboards - no data flow from 19 July CACF - Incident Dashboard CACF - Executive Dashboard CACF - Automation Performance Dashboard all of these dashboards - have no data flow from 19th July 4) KYNDRYL BRIDGE CUSTOMER FOR AIOPS LOOKUP (IF KNOWN): MICHELIN - mic (BAC0003419-FR) es.ams1 5) ORG MARKET: France 6) WATCH LIST: SurÃ½ Martin, Thiyagarajan Hemalatha, Thangaraju Stalin 7) REPORTED PRIORITY: P2 - High (Sev2) 8) ADDITIONAL DETAILS: 9) ATTACHMENTS (EVIDENCE, SCREENSHOTS, LOGS,ETC): AIOPS CACF EXD.jpg, AIOPS CACF APD.jpg, AIOPS no data INS .jpg PLATFORM TOOLS - INTEGRATED AIOPS (AIOPS) DETAILS 1) AIOPS LOCATION: Integrated AIOPs - EU 2) AIOPS INSTANCE: Europe 3) AIOPS DATA PLANE: Home &gt; Dashboards &gt; CACF 4) WHERE ON THE WEB PAGE IS THE ISSUE LOCATED?: Home &gt; Header &gt; Insights &gt; Dashboards 5) WHAT SUBCATEGORY OF THE LOCATION IS THE ISSUE RELATED TO?: CACF: Incident Dashboard 6) URL OF THE WEB PAGE DISPLAYING THE ISSUE: 7) WHAT IS THE ISSUE?: Missing data</t>
  </si>
  <si>
    <t>Intermittent performance issues with AIOPs</t>
  </si>
  <si>
    <t>Rohit Raj</t>
  </si>
  <si>
    <t>PLATFORM TOOLS - BASIC DETAILS 1) CAPABILITY/TOOL: Integrated AIOps (AIOPS) 2) SHORT DESCRIPTION: Intermittent performance issues with AIOPs 3) DESCRIPTION OF ISSUE: WPP team has been facing intermittent performance issues since weeks making usage of the tool impossible to team. We have Client and Exec reviews coming up which does not put us in a good position to be in. 4) KYNDRYL BRIDGE CUSTOMER FOR AIOPS LOOKUP (IF KNOWN): WPP Group plc - wpp (BAC0002444-GB) es.ams1 5) ORG MARKET: UKI 6) WATCH LIST: . Preeti 7) REPORTED PRIORITY: P1 - Critical (Sev1) 8) ADDITIONAL DETAILS: 9) ATTACHMENTS (EVIDENCE, SCREENSHOTS, LOGS,ETC): Screenshot 2026-07-20 at 12.05.58â€¯PM.png PLATFORM TOOLS - INTEGRATED AIOPS (AIOPS) DETAILS 1) AIOPS LOCATION: Integrated AIOPs - EU 2) AIOPS INSTANCE: Europe 3) AIOPS DATA PLANE: 4) WHERE ON THE WEB PAGE IS THE ISSUE LOCATED?: Home &gt; Header &gt; Home 5) WHAT SUBCATEGORY OF THE LOCATION IS THE ISSUE RELATED TO?: Others 6) URL OF THE WEB PAGE DISPLAYING THE ISSUE: 7) WHAT IS THE ISSUE?: Missing data</t>
  </si>
  <si>
    <t>Hardware is not managed by Kyndryl EOL EOS should not reflect in AIOPS- Exception needed</t>
  </si>
  <si>
    <t>BRAJESH JAISWAL</t>
  </si>
  <si>
    <t>PLATFORM TOOLS - BASIC DETAILS 1) CAPABILITY/TOOL: Integrated AIOps (AIOPS) 2) SHORT DESCRIPTION: Hardware is not managed by Kyndryl EOL EOS should not reflect in AIOPS- Exception needed 3) DESCRIPTION OF ISSUE: Hardware is not managed by Kyndryl EOL EOS should not reflect in AIOPS- Exception needed 4) KYNDRYL BRIDGE CUSTOMER FOR AIOPS LOOKUP (IF KNOWN): Migros Aare GMAA - mgr (BAM00037BC-CH) es.ams1 5) ORG MARKET: Strategic Markets 6) WATCH LIST: 7) REPORTED PRIORITY: P3 - Medium (Sev3) 8) ADDITIONAL DETAILS: Hardware is not managed by Kyndryl EOL EOS should not reflect in AIOPS- Exception needed 9) ATTACHMENTS (EVIDENCE, SCREENSHOTS, LOGS,ETC): Hardware Exception.xlsx, EOL-EOS.jpg PLATFORM TOOLS - INTEGRATED AIOPS (AIOPS) DETAILS 1) AIOPS LOCATION: Integrated AIOPs - EU 2) AIOPS INSTANCE: Europe 3) AIOPS DATA PLANE: IT health indicator/EOL-EOS 4) WHERE ON THE WEB PAGE IS THE ISSUE LOCATED?: Home &gt; IT Health Indicators 5) WHAT SUBCATEGORY OF THE LOCATION IS THE ISSUE RELATED TO?: Devices EOL 6) URL OF THE WEB PAGE DISPLAYING THE ISSUE: https://www.kyndryl.com/bridge/aiops/home/ 7) WHAT IS THE ISSUE?: Incorrect data</t>
  </si>
  <si>
    <t>Transformation Scorecard is not showing all metrics for all accts</t>
  </si>
  <si>
    <t>Luan Silva de Oliveira</t>
  </si>
  <si>
    <t>Transformation Scorecard is not showing all metrics for all accts, for example IT Health Metrics (Inventory, Best Practice Performance, Best Practice Coverage, Automation) are not showing for Celestica for example, but is showing for accts Banque Laurentian, Investors and Payments Canada for example. I'm adding details of what is currently in Transformation Scorecard for Canada and Celestica specifically, also showing what is actually showing in the individual Performance Dashboards for the account. Need help figuring out why the Global Transformation Scorecard isn't showing the values even though the data is showing up in the regional performance dashboards.</t>
  </si>
  <si>
    <t>Change GBG ID Grupo Romero accounts</t>
  </si>
  <si>
    <t>PLATFORM TOOLS - BASIC DETAILS 1) SHORT DESCRIPTION: Change GBG ID Grupo Romero accounts 2) DESCRIPTION OF REQUEST: Please support us in changing the GBG ID for the following accounts: The correct GBG ID for all of them is GB603822. _î„“_ _î„“_ _î„“_ Account name Org Market Lead Country GBG ID BGC ID Tenant ID Alicorp Strategic Peru GB302B7G BGC00028B5 BAC0003704-PE PRIMAX COLOMBIA S.A. Strategic Peru GB302B7G BGC00008C4 BAC0000527-PE Primax Peru Strategic Peru GB302B7G BGCA2C0000 BAC6D0A010-PE Ransa Comercial SAC Strategic Peru No Data DB502JB6 DSG0000006-PE 3) CAPABILITY/TOOL: Integrated AIOps (AIOPS) 4) KYNDRYL BRIDGE CUSTOMER FOR AIOPS LOOKUP (IF KNOWN): Alicorp - alc (BAC0003704-PE) es.was1 5) ORG MARKET: Strategic Markets 6) ADDITIONAL DETAILS: 7) NOTIFY: PLATFORM TOOLS - INTEGRATED AIOPS (AIOPS) DETAILS 1) AIOPS LOCATION: Integrated AIOPs - NA 2) AIOPS INSTANCE: Americas 3) TYPE OF REQUEST: AIOPS - General Request</t>
  </si>
  <si>
    <t>There has been a significant decline in Total Automation Performance â€“ Global Dashboard across all metrics in all the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</si>
</sst>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name val="Calibri"/>
      <family val="2"/>
    </font>
    <font>
      <sz val="18"/>
      <color theme="3"/>
      <name val="Aptos Display"/>
      <family val="2"/>
      <scheme val="maj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340">
    <xf numFmtId="0" fontId="0" fillId="0" borderId="0"/>
    <xf numFmtId="0" fontId="15" fillId="10" borderId="0" applyNumberFormat="0" applyBorder="0" applyAlignment="0" applyProtection="0"/>
    <xf numFmtId="0" fontId="15" fillId="14" borderId="0" applyNumberFormat="0" applyBorder="0" applyAlignment="0" applyProtection="0"/>
    <xf numFmtId="0" fontId="15" fillId="18" borderId="0" applyNumberFormat="0" applyBorder="0" applyAlignment="0" applyProtection="0"/>
    <xf numFmtId="0" fontId="15" fillId="22" borderId="0" applyNumberFormat="0" applyBorder="0" applyAlignment="0" applyProtection="0"/>
    <xf numFmtId="0" fontId="15" fillId="26" borderId="0" applyNumberFormat="0" applyBorder="0" applyAlignment="0" applyProtection="0"/>
    <xf numFmtId="0" fontId="15" fillId="30"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0" fontId="31" fillId="9"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21" fillId="3" borderId="0" applyNumberFormat="0" applyBorder="0" applyAlignment="0" applyProtection="0"/>
    <xf numFmtId="0" fontId="25" fillId="6" borderId="4" applyNumberFormat="0" applyAlignment="0" applyProtection="0"/>
    <xf numFmtId="0" fontId="27" fillId="7" borderId="7" applyNumberFormat="0" applyAlignment="0" applyProtection="0"/>
    <xf numFmtId="0" fontId="29" fillId="0" borderId="0" applyNumberFormat="0" applyFill="0" applyBorder="0" applyAlignment="0" applyProtection="0"/>
    <xf numFmtId="0" fontId="20" fillId="2" borderId="0" applyNumberFormat="0" applyBorder="0" applyAlignment="0" applyProtection="0"/>
    <xf numFmtId="0" fontId="17" fillId="0" borderId="1" applyNumberFormat="0" applyFill="0" applyAlignment="0" applyProtection="0"/>
    <xf numFmtId="0" fontId="18" fillId="0" borderId="2" applyNumberFormat="0" applyFill="0" applyAlignment="0" applyProtection="0"/>
    <xf numFmtId="0" fontId="19" fillId="0" borderId="3" applyNumberFormat="0" applyFill="0" applyAlignment="0" applyProtection="0"/>
    <xf numFmtId="0" fontId="19" fillId="0" borderId="0" applyNumberFormat="0" applyFill="0" applyBorder="0" applyAlignment="0" applyProtection="0"/>
    <xf numFmtId="0" fontId="23" fillId="5" borderId="4" applyNumberFormat="0" applyAlignment="0" applyProtection="0"/>
    <xf numFmtId="0" fontId="26" fillId="0" borderId="6" applyNumberFormat="0" applyFill="0" applyAlignment="0" applyProtection="0"/>
    <xf numFmtId="0" fontId="22" fillId="4" borderId="0" applyNumberFormat="0" applyBorder="0" applyAlignment="0" applyProtection="0"/>
    <xf numFmtId="0" fontId="15" fillId="8" borderId="8" applyNumberFormat="0" applyFont="0" applyAlignment="0" applyProtection="0"/>
    <xf numFmtId="0" fontId="24" fillId="6" borderId="5" applyNumberFormat="0" applyAlignment="0" applyProtection="0"/>
    <xf numFmtId="0" fontId="16" fillId="0" borderId="0" applyNumberFormat="0" applyFill="0" applyBorder="0" applyAlignment="0" applyProtection="0"/>
    <xf numFmtId="0" fontId="30" fillId="0" borderId="9" applyNumberFormat="0" applyFill="0" applyAlignment="0" applyProtection="0"/>
    <xf numFmtId="0" fontId="28" fillId="0" borderId="0" applyNumberFormat="0" applyFill="0" applyBorder="0" applyAlignment="0" applyProtection="0"/>
    <xf numFmtId="0" fontId="14" fillId="0" borderId="0"/>
    <xf numFmtId="0" fontId="33" fillId="0" borderId="0" applyNumberFormat="0" applyFill="0" applyBorder="0" applyAlignment="0" applyProtection="0"/>
    <xf numFmtId="0" fontId="34" fillId="2" borderId="0" applyNumberFormat="0" applyBorder="0" applyAlignment="0" applyProtection="0"/>
    <xf numFmtId="0" fontId="35" fillId="3" borderId="0" applyNumberFormat="0" applyBorder="0" applyAlignment="0" applyProtection="0"/>
    <xf numFmtId="0" fontId="36" fillId="4" borderId="0" applyNumberFormat="0" applyBorder="0" applyAlignment="0" applyProtection="0"/>
    <xf numFmtId="0" fontId="37" fillId="5" borderId="4" applyNumberFormat="0" applyAlignment="0" applyProtection="0"/>
    <xf numFmtId="0" fontId="38" fillId="6" borderId="5" applyNumberFormat="0" applyAlignment="0" applyProtection="0"/>
    <xf numFmtId="0" fontId="39" fillId="6" borderId="4" applyNumberFormat="0" applyAlignment="0" applyProtection="0"/>
    <xf numFmtId="0" fontId="40" fillId="0" borderId="6" applyNumberFormat="0" applyFill="0" applyAlignment="0" applyProtection="0"/>
    <xf numFmtId="0" fontId="41" fillId="7" borderId="7" applyNumberFormat="0" applyAlignment="0" applyProtection="0"/>
    <xf numFmtId="0" fontId="42" fillId="0" borderId="0" applyNumberFormat="0" applyFill="0" applyBorder="0" applyAlignment="0" applyProtection="0"/>
    <xf numFmtId="0" fontId="14" fillId="8" borderId="8" applyNumberFormat="0" applyFont="0" applyAlignment="0" applyProtection="0"/>
    <xf numFmtId="0" fontId="43" fillId="0" borderId="0" applyNumberFormat="0" applyFill="0" applyBorder="0" applyAlignment="0" applyProtection="0"/>
    <xf numFmtId="0" fontId="44" fillId="0" borderId="9" applyNumberFormat="0" applyFill="0" applyAlignment="0" applyProtection="0"/>
    <xf numFmtId="0" fontId="45"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5"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45"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45"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45" fillId="25" borderId="0" applyNumberFormat="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45" fillId="29" borderId="0" applyNumberFormat="0" applyBorder="0" applyAlignment="0" applyProtection="0"/>
    <xf numFmtId="0" fontId="14"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3" fillId="0" borderId="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2" fillId="0" borderId="0"/>
    <xf numFmtId="0" fontId="12" fillId="8" borderId="8" applyNumberFormat="0" applyFont="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1" fillId="0" borderId="0"/>
    <xf numFmtId="0" fontId="11" fillId="8" borderId="8" applyNumberFormat="0" applyFont="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0" fillId="0" borderId="0"/>
    <xf numFmtId="0" fontId="10" fillId="8" borderId="8" applyNumberFormat="0" applyFont="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9" fillId="0" borderId="0"/>
    <xf numFmtId="0" fontId="9" fillId="8" borderId="8" applyNumberFormat="0" applyFont="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8" fillId="0" borderId="0"/>
    <xf numFmtId="0" fontId="8" fillId="8" borderId="8" applyNumberFormat="0" applyFont="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7" fillId="0" borderId="0"/>
    <xf numFmtId="0" fontId="7" fillId="8" borderId="8" applyNumberFormat="0" applyFont="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4" fillId="8" borderId="8"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3" fillId="0" borderId="0"/>
    <xf numFmtId="0" fontId="3" fillId="8" borderId="8" applyNumberFormat="0" applyFont="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32" fillId="0" borderId="0" xfId="0" applyFont="1"/>
    <xf numFmtId="22" fontId="0" fillId="0" borderId="0" xfId="0" applyNumberFormat="1"/>
    <xf numFmtId="0" fontId="0" fillId="0" borderId="0" xfId="0" pivotButton="1"/>
    <xf numFmtId="0" fontId="0" fillId="0" borderId="0" xfId="0" applyAlignment="1">
      <alignment horizontal="left"/>
    </xf>
    <xf numFmtId="0" fontId="5" fillId="0" borderId="0" xfId="240"/>
    <xf numFmtId="0" fontId="4" fillId="0" borderId="0" xfId="260"/>
    <xf numFmtId="0" fontId="2" fillId="0" borderId="0" xfId="300"/>
    <xf numFmtId="0" fontId="1" fillId="0" borderId="0" xfId="320"/>
    <xf numFmtId="22" fontId="1" fillId="0" borderId="0" xfId="320" applyNumberFormat="1"/>
    <xf numFmtId="0" fontId="46" fillId="0" borderId="0" xfId="0" applyFont="1"/>
  </cellXfs>
  <cellStyles count="340">
    <cellStyle name="20% - Accent1" xfId="1" builtinId="30" customBuiltin="1"/>
    <cellStyle name="20% - Accent1 10" xfId="222" xr:uid="{536CBB5C-8633-46F1-8700-77DBFEDF4739}"/>
    <cellStyle name="20% - Accent1 11" xfId="242" xr:uid="{1E6504D5-789A-492B-A6DE-728862F75F4D}"/>
    <cellStyle name="20% - Accent1 12" xfId="262" xr:uid="{A323018B-37AD-4E5F-8A7F-DB7BDA5BE34B}"/>
    <cellStyle name="20% - Accent1 13" xfId="282" xr:uid="{04A914AC-5BAA-48E2-A9C6-27FAF58A5A7A}"/>
    <cellStyle name="20% - Accent1 14" xfId="302" xr:uid="{2509288D-1958-48F6-8AC0-E96BBB94129A}"/>
    <cellStyle name="20% - Accent1 15" xfId="322" xr:uid="{B90419A3-B98F-4075-8E56-E118CFC29D5B}"/>
    <cellStyle name="20% - Accent1 2" xfId="57" xr:uid="{E59F7A40-95DA-4B75-80B7-CC6A15C633C4}"/>
    <cellStyle name="20% - Accent1 3" xfId="82" xr:uid="{C3E6010A-6185-418F-B33E-4892E4AE0167}"/>
    <cellStyle name="20% - Accent1 4" xfId="102" xr:uid="{B68B05EA-0319-4E32-8F49-8CC655FAA9CF}"/>
    <cellStyle name="20% - Accent1 5" xfId="122" xr:uid="{E79D20D2-18FF-4F6D-9D76-C19A3734DCCA}"/>
    <cellStyle name="20% - Accent1 6" xfId="142" xr:uid="{4B648F9B-AE49-4EBB-A0EF-B5B0E26BB812}"/>
    <cellStyle name="20% - Accent1 7" xfId="162" xr:uid="{D8D2856F-0A25-4CB7-8DD9-583FA2FDD66D}"/>
    <cellStyle name="20% - Accent1 8" xfId="182" xr:uid="{B4FD82D7-F052-4891-95AB-ED3F80C90A90}"/>
    <cellStyle name="20% - Accent1 9" xfId="202" xr:uid="{300EEE04-6B85-468D-84D4-3508A3DF7165}"/>
    <cellStyle name="20% - Accent2" xfId="2" builtinId="34" customBuiltin="1"/>
    <cellStyle name="20% - Accent2 10" xfId="225" xr:uid="{9C7B9610-37CB-4722-B193-2C84AB80DAAA}"/>
    <cellStyle name="20% - Accent2 11" xfId="245" xr:uid="{F8DF6029-43E0-4053-A8A9-4AFDF5CEB3AA}"/>
    <cellStyle name="20% - Accent2 12" xfId="265" xr:uid="{4C4AEEE3-67EC-4983-A837-AB1E3E4ADAA8}"/>
    <cellStyle name="20% - Accent2 13" xfId="285" xr:uid="{A49B409B-398C-469D-8A39-24D96382463E}"/>
    <cellStyle name="20% - Accent2 14" xfId="305" xr:uid="{59A638FA-D608-4462-A065-4B1B524C4913}"/>
    <cellStyle name="20% - Accent2 15" xfId="325" xr:uid="{581A6F19-95A6-4134-A91B-7D4D5FD40386}"/>
    <cellStyle name="20% - Accent2 2" xfId="61" xr:uid="{4D60BC4F-8166-4E16-9DC0-4AF981FAF6E6}"/>
    <cellStyle name="20% - Accent2 3" xfId="85" xr:uid="{7C5409A9-7E2A-41DD-8436-A9DD3F512480}"/>
    <cellStyle name="20% - Accent2 4" xfId="105" xr:uid="{D590AD98-1750-4947-932D-834980D7040F}"/>
    <cellStyle name="20% - Accent2 5" xfId="125" xr:uid="{49315006-FEE9-4FB8-8378-B7E3DB5C79C3}"/>
    <cellStyle name="20% - Accent2 6" xfId="145" xr:uid="{C7FE5359-311F-49DC-A079-A6BE1D2524C8}"/>
    <cellStyle name="20% - Accent2 7" xfId="165" xr:uid="{8AA6F429-1A7E-4FC0-A852-938D9B80CDB0}"/>
    <cellStyle name="20% - Accent2 8" xfId="185" xr:uid="{923D1F53-197C-4479-A0EF-9665E4A5DB95}"/>
    <cellStyle name="20% - Accent2 9" xfId="205" xr:uid="{FF0A3FFD-47EB-4EF5-B220-38ACC2998704}"/>
    <cellStyle name="20% - Accent3" xfId="3" builtinId="38" customBuiltin="1"/>
    <cellStyle name="20% - Accent3 10" xfId="228" xr:uid="{B8621BCA-410E-49C2-A5F3-845F321E39E5}"/>
    <cellStyle name="20% - Accent3 11" xfId="248" xr:uid="{E9205F72-C49B-490B-AC3C-8CB28877E902}"/>
    <cellStyle name="20% - Accent3 12" xfId="268" xr:uid="{714D6A73-B50B-4EA7-810A-CE14EF2B46E1}"/>
    <cellStyle name="20% - Accent3 13" xfId="288" xr:uid="{DAB985AC-04E4-4140-BD76-9B408E5DA9AA}"/>
    <cellStyle name="20% - Accent3 14" xfId="308" xr:uid="{29EF6229-772B-4412-9C3D-5E859C5E1064}"/>
    <cellStyle name="20% - Accent3 15" xfId="328" xr:uid="{31DD966E-48A5-4158-BE3E-991DA56C19D7}"/>
    <cellStyle name="20% - Accent3 2" xfId="65" xr:uid="{1563B146-A85D-41D8-9AE1-DE378FED0636}"/>
    <cellStyle name="20% - Accent3 3" xfId="88" xr:uid="{8358965E-BDDD-43B8-9007-9AB2ABEC16D9}"/>
    <cellStyle name="20% - Accent3 4" xfId="108" xr:uid="{10C2ACF5-7BC5-4F8F-AACB-F3E9A923564D}"/>
    <cellStyle name="20% - Accent3 5" xfId="128" xr:uid="{0532C247-4556-4123-B441-33F309E55529}"/>
    <cellStyle name="20% - Accent3 6" xfId="148" xr:uid="{CACB3B9C-0FAD-4AA2-8F62-BD269C1D8DAE}"/>
    <cellStyle name="20% - Accent3 7" xfId="168" xr:uid="{17A4F513-201C-4F14-8FF2-CCF50AC967A4}"/>
    <cellStyle name="20% - Accent3 8" xfId="188" xr:uid="{4062619D-A15D-42AF-9025-94C5FEC87E2D}"/>
    <cellStyle name="20% - Accent3 9" xfId="208" xr:uid="{9B6C0DE0-E26F-4D7A-9659-32F353F303FB}"/>
    <cellStyle name="20% - Accent4" xfId="4" builtinId="42" customBuiltin="1"/>
    <cellStyle name="20% - Accent4 10" xfId="231" xr:uid="{33A2206C-209C-42C1-915F-823EE446E6BB}"/>
    <cellStyle name="20% - Accent4 11" xfId="251" xr:uid="{65B9471B-22CE-4216-AD86-4D054C3DCD8B}"/>
    <cellStyle name="20% - Accent4 12" xfId="271" xr:uid="{B4271707-C05D-4698-B2A4-C8C062998F55}"/>
    <cellStyle name="20% - Accent4 13" xfId="291" xr:uid="{8ED7949C-A1B2-408E-8EC2-B54ED08119DE}"/>
    <cellStyle name="20% - Accent4 14" xfId="311" xr:uid="{EABC9448-6A89-4A9F-B07A-121740FA9E18}"/>
    <cellStyle name="20% - Accent4 15" xfId="331" xr:uid="{592BAB56-0CC5-48D3-B995-30A1F6E3613F}"/>
    <cellStyle name="20% - Accent4 2" xfId="69" xr:uid="{84240D11-91D9-4544-9B97-3013D546C38A}"/>
    <cellStyle name="20% - Accent4 3" xfId="91" xr:uid="{BD826A5A-8930-4F9C-A97C-83A703A1CAF0}"/>
    <cellStyle name="20% - Accent4 4" xfId="111" xr:uid="{64636BC6-0C31-46A7-A663-D35272534CEC}"/>
    <cellStyle name="20% - Accent4 5" xfId="131" xr:uid="{3C922A6A-2115-4D86-835F-BA88C4D3E7C1}"/>
    <cellStyle name="20% - Accent4 6" xfId="151" xr:uid="{F54703CE-196E-4962-BC01-E88AF50FC467}"/>
    <cellStyle name="20% - Accent4 7" xfId="171" xr:uid="{DC5A022E-2AE7-412F-B3F8-D9A706D3EA5E}"/>
    <cellStyle name="20% - Accent4 8" xfId="191" xr:uid="{06DAC62F-0A52-4793-9728-C86233287657}"/>
    <cellStyle name="20% - Accent4 9" xfId="211" xr:uid="{8A767852-0474-4BB7-895F-D892C8972367}"/>
    <cellStyle name="20% - Accent5" xfId="5" builtinId="46" customBuiltin="1"/>
    <cellStyle name="20% - Accent5 10" xfId="234" xr:uid="{10AC4CCB-44AC-4E42-B336-FED23E6D0C0A}"/>
    <cellStyle name="20% - Accent5 11" xfId="254" xr:uid="{A1FFB82F-1FDF-4C34-B444-27B1846E1F74}"/>
    <cellStyle name="20% - Accent5 12" xfId="274" xr:uid="{43197482-BEEC-423E-A07A-9D912910233C}"/>
    <cellStyle name="20% - Accent5 13" xfId="294" xr:uid="{48E76EB6-DC08-4730-BE8E-F4A6086C922E}"/>
    <cellStyle name="20% - Accent5 14" xfId="314" xr:uid="{A4B959C7-61D6-452C-99C7-54EB82D47A26}"/>
    <cellStyle name="20% - Accent5 15" xfId="334" xr:uid="{D67DE311-FBC6-4451-8994-44F7D1BD24CD}"/>
    <cellStyle name="20% - Accent5 2" xfId="73" xr:uid="{19EC72DA-24F9-4D66-A720-27C57C86476B}"/>
    <cellStyle name="20% - Accent5 3" xfId="94" xr:uid="{660F52D5-4E07-497C-ABBA-47E708EA1D98}"/>
    <cellStyle name="20% - Accent5 4" xfId="114" xr:uid="{FA73D8D0-39F8-4329-AE24-FED6477479BD}"/>
    <cellStyle name="20% - Accent5 5" xfId="134" xr:uid="{0CB069D5-8B39-4E1A-8392-EB04649A5B09}"/>
    <cellStyle name="20% - Accent5 6" xfId="154" xr:uid="{3BB46248-68B6-449F-81F1-53072F6FCBE2}"/>
    <cellStyle name="20% - Accent5 7" xfId="174" xr:uid="{F000509D-EB39-44B2-AD9B-211FD121A880}"/>
    <cellStyle name="20% - Accent5 8" xfId="194" xr:uid="{38F2A057-1FF5-4C97-87FA-ECCA670197D7}"/>
    <cellStyle name="20% - Accent5 9" xfId="214" xr:uid="{B66906AF-6181-4423-86CE-A6692E0E7FB1}"/>
    <cellStyle name="20% - Accent6" xfId="6" builtinId="50" customBuiltin="1"/>
    <cellStyle name="20% - Accent6 10" xfId="237" xr:uid="{B50FD9E0-66B7-4EF7-9E24-095A815DA6E6}"/>
    <cellStyle name="20% - Accent6 11" xfId="257" xr:uid="{EBD92947-73F2-4646-868A-673CBBCB18FE}"/>
    <cellStyle name="20% - Accent6 12" xfId="277" xr:uid="{1955A7D1-3179-403F-8190-2A545A79C029}"/>
    <cellStyle name="20% - Accent6 13" xfId="297" xr:uid="{057A0177-AC92-4456-A08D-5EA709DC081F}"/>
    <cellStyle name="20% - Accent6 14" xfId="317" xr:uid="{E83124B4-50CA-4A50-8700-7912FCD97857}"/>
    <cellStyle name="20% - Accent6 15" xfId="337" xr:uid="{C0297243-A630-4D7B-86D8-4440F78B2ED3}"/>
    <cellStyle name="20% - Accent6 2" xfId="77" xr:uid="{2263D9E8-0F13-4643-9B18-00CDF8A53E7A}"/>
    <cellStyle name="20% - Accent6 3" xfId="97" xr:uid="{836EE8F1-5F25-4E3B-8B15-C5FAC933E246}"/>
    <cellStyle name="20% - Accent6 4" xfId="117" xr:uid="{F433CCC6-BF8E-4D9A-AFFC-25A12C18AF5E}"/>
    <cellStyle name="20% - Accent6 5" xfId="137" xr:uid="{DA7DCBBF-5CD8-43E9-B756-33B144A75CEC}"/>
    <cellStyle name="20% - Accent6 6" xfId="157" xr:uid="{13927ACE-99F3-4498-A101-38DE762762C1}"/>
    <cellStyle name="20% - Accent6 7" xfId="177" xr:uid="{75A30202-BD2B-45EA-9E23-05A6330DA656}"/>
    <cellStyle name="20% - Accent6 8" xfId="197" xr:uid="{11ED8567-52E0-4888-9460-E922C029D2ED}"/>
    <cellStyle name="20% - Accent6 9" xfId="217" xr:uid="{6ABCA510-45F6-467E-8D53-43215D2A71DE}"/>
    <cellStyle name="40% - Accent1" xfId="7" builtinId="31" customBuiltin="1"/>
    <cellStyle name="40% - Accent1 10" xfId="223" xr:uid="{4FA51557-E882-48D6-82DB-D058F10DDB92}"/>
    <cellStyle name="40% - Accent1 11" xfId="243" xr:uid="{56964E4E-2DB2-4DD1-8D54-F2734217E03D}"/>
    <cellStyle name="40% - Accent1 12" xfId="263" xr:uid="{0F1C0F7F-33EA-4DB9-9D1D-D208AD04646A}"/>
    <cellStyle name="40% - Accent1 13" xfId="283" xr:uid="{64CC94EB-C18C-4504-B124-56267AAD28D4}"/>
    <cellStyle name="40% - Accent1 14" xfId="303" xr:uid="{035509E7-C789-4AEE-8D3D-15D7766FF241}"/>
    <cellStyle name="40% - Accent1 15" xfId="323" xr:uid="{912A0288-9E4A-4CB0-A465-F3B561104680}"/>
    <cellStyle name="40% - Accent1 2" xfId="58" xr:uid="{462FA517-5C5A-4667-96EE-7E71757D8A5A}"/>
    <cellStyle name="40% - Accent1 3" xfId="83" xr:uid="{516B50D1-6A5F-48BA-A22E-5896938ADDC3}"/>
    <cellStyle name="40% - Accent1 4" xfId="103" xr:uid="{844448CB-C251-4B58-B270-A3A796398538}"/>
    <cellStyle name="40% - Accent1 5" xfId="123" xr:uid="{C14B350A-7FFD-408B-BB8D-65B93F0BADC7}"/>
    <cellStyle name="40% - Accent1 6" xfId="143" xr:uid="{3066BE24-8D3A-4438-8DB0-7D1168C57C4B}"/>
    <cellStyle name="40% - Accent1 7" xfId="163" xr:uid="{BD4E2B05-2B05-405D-ACDA-53B38BEA3AE5}"/>
    <cellStyle name="40% - Accent1 8" xfId="183" xr:uid="{8C5EBB98-D292-407A-986F-362C89B10F30}"/>
    <cellStyle name="40% - Accent1 9" xfId="203" xr:uid="{443E9FEA-936F-4E1D-866B-C43A36CE332B}"/>
    <cellStyle name="40% - Accent2" xfId="8" builtinId="35" customBuiltin="1"/>
    <cellStyle name="40% - Accent2 10" xfId="226" xr:uid="{8F7E140B-7B60-4725-B509-7B1C96BB6E2C}"/>
    <cellStyle name="40% - Accent2 11" xfId="246" xr:uid="{1D7C3E45-F7CC-4EA7-B385-93D6B3E2043E}"/>
    <cellStyle name="40% - Accent2 12" xfId="266" xr:uid="{44BD6538-34A7-49F5-886C-A45E6C42E0A3}"/>
    <cellStyle name="40% - Accent2 13" xfId="286" xr:uid="{98F56C0C-56ED-4F63-A9A3-984F5B9F0D83}"/>
    <cellStyle name="40% - Accent2 14" xfId="306" xr:uid="{CA74E141-9958-4B85-85AA-8B68F3E3D31B}"/>
    <cellStyle name="40% - Accent2 15" xfId="326" xr:uid="{E2470188-3E7A-4CE8-B6C5-DE71654DBA79}"/>
    <cellStyle name="40% - Accent2 2" xfId="62" xr:uid="{1577756B-61F2-45BA-8FC4-B8403171FAAD}"/>
    <cellStyle name="40% - Accent2 3" xfId="86" xr:uid="{E7E4155F-FD86-49E4-B453-ADA50942AE0D}"/>
    <cellStyle name="40% - Accent2 4" xfId="106" xr:uid="{D0CBF283-D563-40B4-BE31-ABE18D33E3A3}"/>
    <cellStyle name="40% - Accent2 5" xfId="126" xr:uid="{BD3F6324-207B-4EF1-9389-A975B45FFF19}"/>
    <cellStyle name="40% - Accent2 6" xfId="146" xr:uid="{A3E5AE3D-5468-40F2-8077-7A330AF0843E}"/>
    <cellStyle name="40% - Accent2 7" xfId="166" xr:uid="{5193A97C-E2FC-4FF3-91D8-7A437731184B}"/>
    <cellStyle name="40% - Accent2 8" xfId="186" xr:uid="{FC77DB18-2A0B-4939-8571-C7F0106FD26E}"/>
    <cellStyle name="40% - Accent2 9" xfId="206" xr:uid="{29D3C1F6-45FD-4FA1-8113-FC02DE158378}"/>
    <cellStyle name="40% - Accent3" xfId="9" builtinId="39" customBuiltin="1"/>
    <cellStyle name="40% - Accent3 10" xfId="229" xr:uid="{85AF9BAF-A7A0-435A-B112-5A32091AB132}"/>
    <cellStyle name="40% - Accent3 11" xfId="249" xr:uid="{FC079597-F51F-4629-99EB-D15AD5225641}"/>
    <cellStyle name="40% - Accent3 12" xfId="269" xr:uid="{A55E4131-477E-4A10-B646-AB749AD95AB7}"/>
    <cellStyle name="40% - Accent3 13" xfId="289" xr:uid="{849D09A5-CCE9-4BA3-8678-6F5F9C452757}"/>
    <cellStyle name="40% - Accent3 14" xfId="309" xr:uid="{E5CFAD07-56F7-4F59-8042-A86B8648ACF3}"/>
    <cellStyle name="40% - Accent3 15" xfId="329" xr:uid="{A05A2FE9-EC0C-418E-A12B-1ED511C38EB6}"/>
    <cellStyle name="40% - Accent3 2" xfId="66" xr:uid="{D2F11156-0145-408E-8E1C-A0FC0E7A5A2F}"/>
    <cellStyle name="40% - Accent3 3" xfId="89" xr:uid="{AF687030-DF53-471B-B561-210197423DF6}"/>
    <cellStyle name="40% - Accent3 4" xfId="109" xr:uid="{5E673657-5DE5-47D2-8B04-458FA5FFD935}"/>
    <cellStyle name="40% - Accent3 5" xfId="129" xr:uid="{C76D6F3E-6272-4C7A-8BBB-E4CDBA9F77AA}"/>
    <cellStyle name="40% - Accent3 6" xfId="149" xr:uid="{0F459D11-74AB-4F1E-B544-1CD3F079A762}"/>
    <cellStyle name="40% - Accent3 7" xfId="169" xr:uid="{6B12A482-3227-44A3-8801-ABF3F18D4EAB}"/>
    <cellStyle name="40% - Accent3 8" xfId="189" xr:uid="{2F28C7A3-3635-42D5-8567-B91507EB0B34}"/>
    <cellStyle name="40% - Accent3 9" xfId="209" xr:uid="{8159135E-8AD0-4859-9867-4691A85C5A7F}"/>
    <cellStyle name="40% - Accent4" xfId="10" builtinId="43" customBuiltin="1"/>
    <cellStyle name="40% - Accent4 10" xfId="232" xr:uid="{72673BB7-4D9F-45D7-AF42-4D63E8168A60}"/>
    <cellStyle name="40% - Accent4 11" xfId="252" xr:uid="{198E8155-AF02-44A3-8069-767D7033D13A}"/>
    <cellStyle name="40% - Accent4 12" xfId="272" xr:uid="{1F428AB5-C39F-43EA-8790-B11DAFBB057F}"/>
    <cellStyle name="40% - Accent4 13" xfId="292" xr:uid="{22512287-3D35-46AA-BF50-918F757F9772}"/>
    <cellStyle name="40% - Accent4 14" xfId="312" xr:uid="{63E57CB4-08D7-4FF7-9FE9-398DEC4117B2}"/>
    <cellStyle name="40% - Accent4 15" xfId="332" xr:uid="{233E4206-F418-4E19-8820-9AB0408DD30D}"/>
    <cellStyle name="40% - Accent4 2" xfId="70" xr:uid="{820D4489-F0EA-4472-A759-6ABE31653B99}"/>
    <cellStyle name="40% - Accent4 3" xfId="92" xr:uid="{4CE7595F-704E-435B-A80B-EBBEA79DE8D7}"/>
    <cellStyle name="40% - Accent4 4" xfId="112" xr:uid="{B7FE04E9-C00F-4936-820F-3DF34A905077}"/>
    <cellStyle name="40% - Accent4 5" xfId="132" xr:uid="{298C7529-D96A-4B25-A3CB-F6A2195E9E82}"/>
    <cellStyle name="40% - Accent4 6" xfId="152" xr:uid="{906D66DF-F96A-42F2-9E92-BF551F007FED}"/>
    <cellStyle name="40% - Accent4 7" xfId="172" xr:uid="{F600A565-CD1A-43CC-BC66-7A37AB590ACE}"/>
    <cellStyle name="40% - Accent4 8" xfId="192" xr:uid="{6F1041AF-38C0-446E-B051-D458CD635007}"/>
    <cellStyle name="40% - Accent4 9" xfId="212" xr:uid="{C94D37BE-1F6C-4C80-ACC1-42EC4ACE104A}"/>
    <cellStyle name="40% - Accent5" xfId="11" builtinId="47" customBuiltin="1"/>
    <cellStyle name="40% - Accent5 10" xfId="235" xr:uid="{A5D657C7-6FEF-48F0-83C3-E4697BBA18D9}"/>
    <cellStyle name="40% - Accent5 11" xfId="255" xr:uid="{8355E534-9C2B-4C4A-A5B9-BF8648189947}"/>
    <cellStyle name="40% - Accent5 12" xfId="275" xr:uid="{E3526362-A536-40C7-A469-8E33C276DA97}"/>
    <cellStyle name="40% - Accent5 13" xfId="295" xr:uid="{CAFBF8A8-7524-4137-9A19-1837E6F2FFF0}"/>
    <cellStyle name="40% - Accent5 14" xfId="315" xr:uid="{47B37879-95E6-4E2C-B58A-6BB3215E4591}"/>
    <cellStyle name="40% - Accent5 15" xfId="335" xr:uid="{4A17D8C3-083A-40EB-ADE7-6CB42C0FFFE7}"/>
    <cellStyle name="40% - Accent5 2" xfId="74" xr:uid="{8260663C-0A14-4E25-8DC5-C0AF43FFEAC9}"/>
    <cellStyle name="40% - Accent5 3" xfId="95" xr:uid="{C9A27EEE-031B-4306-B977-AAFE93A9B770}"/>
    <cellStyle name="40% - Accent5 4" xfId="115" xr:uid="{9B43F661-2AF6-4EB3-8CB2-09B8B61E79D9}"/>
    <cellStyle name="40% - Accent5 5" xfId="135" xr:uid="{706EAF0E-E289-47C4-BB34-3E62E7798927}"/>
    <cellStyle name="40% - Accent5 6" xfId="155" xr:uid="{CF13DC4D-2A27-45AE-9441-E5DCAB58E563}"/>
    <cellStyle name="40% - Accent5 7" xfId="175" xr:uid="{8DA288CC-157A-4237-B45F-664C32CA2D55}"/>
    <cellStyle name="40% - Accent5 8" xfId="195" xr:uid="{CF4C271F-2044-4B13-BBA5-75CE51AF4B0B}"/>
    <cellStyle name="40% - Accent5 9" xfId="215" xr:uid="{8169399F-2782-4C1C-B777-76A5CC655676}"/>
    <cellStyle name="40% - Accent6" xfId="12" builtinId="51" customBuiltin="1"/>
    <cellStyle name="40% - Accent6 10" xfId="238" xr:uid="{CF36EE09-14F2-4D63-8C08-B491403CFBEE}"/>
    <cellStyle name="40% - Accent6 11" xfId="258" xr:uid="{2B2EAC90-EC98-484D-A90C-E49C03293343}"/>
    <cellStyle name="40% - Accent6 12" xfId="278" xr:uid="{6A7CA002-748E-4B23-AE14-48E09839179D}"/>
    <cellStyle name="40% - Accent6 13" xfId="298" xr:uid="{433388B0-0E6E-4E5B-9DBE-62F7654653CB}"/>
    <cellStyle name="40% - Accent6 14" xfId="318" xr:uid="{9CF175B7-9C87-4CB9-B046-A621B331D4EA}"/>
    <cellStyle name="40% - Accent6 15" xfId="338" xr:uid="{EBF22880-0141-4FE3-8DDC-1C9B6827FC03}"/>
    <cellStyle name="40% - Accent6 2" xfId="78" xr:uid="{9F03B63A-8187-44D3-B70E-1E24CE11285D}"/>
    <cellStyle name="40% - Accent6 3" xfId="98" xr:uid="{5AC1EA9D-D543-44A1-92AE-2AB88A448F70}"/>
    <cellStyle name="40% - Accent6 4" xfId="118" xr:uid="{8DA94FE8-C17F-4129-ABDA-2638A9CBC5DD}"/>
    <cellStyle name="40% - Accent6 5" xfId="138" xr:uid="{39C5699E-DFAE-4F40-A4F3-746052A0831E}"/>
    <cellStyle name="40% - Accent6 6" xfId="158" xr:uid="{53A928D4-47D9-436E-B3AF-2255E991C10C}"/>
    <cellStyle name="40% - Accent6 7" xfId="178" xr:uid="{AEDF56D8-9E5B-4E4B-B2F2-FE6F364C1BBE}"/>
    <cellStyle name="40% - Accent6 8" xfId="198" xr:uid="{B1467D1D-A776-415B-B292-8D6A3C80D9A8}"/>
    <cellStyle name="40% - Accent6 9" xfId="218" xr:uid="{9E26E853-9B8B-4599-9A71-471B38FA7169}"/>
    <cellStyle name="60% - Accent1" xfId="13" builtinId="32" customBuiltin="1"/>
    <cellStyle name="60% - Accent1 10" xfId="224" xr:uid="{07647EDF-018D-45D4-BA19-019C78C2548F}"/>
    <cellStyle name="60% - Accent1 11" xfId="244" xr:uid="{17D39350-0326-4F3A-AF08-A8827474EDA3}"/>
    <cellStyle name="60% - Accent1 12" xfId="264" xr:uid="{3A0F1203-8C8B-4F8B-891B-9622DFA9E88E}"/>
    <cellStyle name="60% - Accent1 13" xfId="284" xr:uid="{B980C728-B207-4219-9DB6-6A945A6F10CF}"/>
    <cellStyle name="60% - Accent1 14" xfId="304" xr:uid="{5A2F7290-D0E5-4326-B921-8BE0568803AD}"/>
    <cellStyle name="60% - Accent1 15" xfId="324" xr:uid="{5D27699E-6CEF-41C2-BCFC-504D022DAFAE}"/>
    <cellStyle name="60% - Accent1 2" xfId="59" xr:uid="{3B8C3F4A-7CCA-4318-8B0C-DC42F8BC70FF}"/>
    <cellStyle name="60% - Accent1 3" xfId="84" xr:uid="{2D4D4385-C763-4177-AB18-FCAD8A77D323}"/>
    <cellStyle name="60% - Accent1 4" xfId="104" xr:uid="{4E889054-41DC-401A-A790-E20480722C02}"/>
    <cellStyle name="60% - Accent1 5" xfId="124" xr:uid="{89AF01C0-961E-48B0-95C8-878013662094}"/>
    <cellStyle name="60% - Accent1 6" xfId="144" xr:uid="{11EE9466-F62D-4452-B275-582F23FD7141}"/>
    <cellStyle name="60% - Accent1 7" xfId="164" xr:uid="{3AB1F911-A43D-4696-868D-69476F6C861A}"/>
    <cellStyle name="60% - Accent1 8" xfId="184" xr:uid="{91484BC1-7DB2-416A-99B5-89D012DF4E74}"/>
    <cellStyle name="60% - Accent1 9" xfId="204" xr:uid="{DB7550CC-736C-4EA9-9C02-B0D7D36FC9A8}"/>
    <cellStyle name="60% - Accent2" xfId="14" builtinId="36" customBuiltin="1"/>
    <cellStyle name="60% - Accent2 10" xfId="227" xr:uid="{17748C31-0C1F-46DA-99A4-ED001B358E6F}"/>
    <cellStyle name="60% - Accent2 11" xfId="247" xr:uid="{9B9B914C-0E1B-4251-8421-05DD9E436C18}"/>
    <cellStyle name="60% - Accent2 12" xfId="267" xr:uid="{3DFBF3D3-3066-4C01-B22E-732C7F77F882}"/>
    <cellStyle name="60% - Accent2 13" xfId="287" xr:uid="{E5557108-A87D-48F5-AC30-E81C5457DC2B}"/>
    <cellStyle name="60% - Accent2 14" xfId="307" xr:uid="{F4127182-46CF-4485-AA0C-422C156D58E8}"/>
    <cellStyle name="60% - Accent2 15" xfId="327" xr:uid="{200B740D-D881-4996-972A-2AF498C14925}"/>
    <cellStyle name="60% - Accent2 2" xfId="63" xr:uid="{FB6A42B8-AA74-4602-9AFD-40D688557D8E}"/>
    <cellStyle name="60% - Accent2 3" xfId="87" xr:uid="{4068E158-E987-4913-8264-5865DE12B356}"/>
    <cellStyle name="60% - Accent2 4" xfId="107" xr:uid="{9273BDCB-89BD-4BE1-84BF-F303D6B86E43}"/>
    <cellStyle name="60% - Accent2 5" xfId="127" xr:uid="{46CAE280-D7D5-4A0B-AAAA-315E7C8BB7C8}"/>
    <cellStyle name="60% - Accent2 6" xfId="147" xr:uid="{8F1695F9-68DA-4FC7-82CA-983A3FFD4E0E}"/>
    <cellStyle name="60% - Accent2 7" xfId="167" xr:uid="{0C0B3906-192E-4DEE-A4A9-6BFA6915E36E}"/>
    <cellStyle name="60% - Accent2 8" xfId="187" xr:uid="{08AEEDFA-93D8-4D41-9293-7D7AA2D9FA3B}"/>
    <cellStyle name="60% - Accent2 9" xfId="207" xr:uid="{EDAA3C79-07E3-4B55-A562-CDAC61E318B4}"/>
    <cellStyle name="60% - Accent3" xfId="15" builtinId="40" customBuiltin="1"/>
    <cellStyle name="60% - Accent3 10" xfId="230" xr:uid="{5391D510-BB81-45AD-9364-CD401ECE78D7}"/>
    <cellStyle name="60% - Accent3 11" xfId="250" xr:uid="{6D6EBA91-70CD-47F5-AD2B-04DC201431EA}"/>
    <cellStyle name="60% - Accent3 12" xfId="270" xr:uid="{7C2BC5E9-47C5-4FB2-A8E1-6C5D1FED25FB}"/>
    <cellStyle name="60% - Accent3 13" xfId="290" xr:uid="{CEB42BFF-3D4E-462F-8F63-620E71C8D864}"/>
    <cellStyle name="60% - Accent3 14" xfId="310" xr:uid="{D9C71477-9676-4346-92CD-9549C805D15A}"/>
    <cellStyle name="60% - Accent3 15" xfId="330" xr:uid="{A215B040-E2D1-43FE-B70F-FE364331379C}"/>
    <cellStyle name="60% - Accent3 2" xfId="67" xr:uid="{2484EBED-FBC8-4D38-B0D5-E718D340BDBE}"/>
    <cellStyle name="60% - Accent3 3" xfId="90" xr:uid="{F8126248-B3C0-4AC1-B058-BF054E3F7D99}"/>
    <cellStyle name="60% - Accent3 4" xfId="110" xr:uid="{4C6136FE-C26B-45E6-A473-D2FC16EB6570}"/>
    <cellStyle name="60% - Accent3 5" xfId="130" xr:uid="{AABE4540-884A-41CF-8E03-188324BE1EF0}"/>
    <cellStyle name="60% - Accent3 6" xfId="150" xr:uid="{3EBFC7BB-2562-4F04-ABF2-3D167903660D}"/>
    <cellStyle name="60% - Accent3 7" xfId="170" xr:uid="{033E1EA8-477B-4B58-A2AA-40523FDB3461}"/>
    <cellStyle name="60% - Accent3 8" xfId="190" xr:uid="{6987D230-C059-4D23-87D5-42F88B1CE3EE}"/>
    <cellStyle name="60% - Accent3 9" xfId="210" xr:uid="{36382956-03CE-4D43-84C2-F6F7BF480B1F}"/>
    <cellStyle name="60% - Accent4" xfId="16" builtinId="44" customBuiltin="1"/>
    <cellStyle name="60% - Accent4 10" xfId="233" xr:uid="{F0512BC3-AD3A-491D-9FB4-933B77892B60}"/>
    <cellStyle name="60% - Accent4 11" xfId="253" xr:uid="{259E9ED5-47F6-4D05-9B8A-D889DEE31ECE}"/>
    <cellStyle name="60% - Accent4 12" xfId="273" xr:uid="{6C2B3FF7-EC56-4B02-9F70-0C1A66E277ED}"/>
    <cellStyle name="60% - Accent4 13" xfId="293" xr:uid="{D89C9DCC-32FB-49BE-A1D5-81AA7A8412DE}"/>
    <cellStyle name="60% - Accent4 14" xfId="313" xr:uid="{1EB9D2B5-D48C-456B-B6B4-5E10E60CC0F5}"/>
    <cellStyle name="60% - Accent4 15" xfId="333" xr:uid="{8388CB58-525D-445F-86CA-390089520746}"/>
    <cellStyle name="60% - Accent4 2" xfId="71" xr:uid="{7A9E2C1E-0A9D-4DB4-BD3E-E396F2A4E485}"/>
    <cellStyle name="60% - Accent4 3" xfId="93" xr:uid="{2BE2EC1D-321B-47DD-990E-262059904A3C}"/>
    <cellStyle name="60% - Accent4 4" xfId="113" xr:uid="{90100739-FAAA-490A-8434-1625E55FBC4D}"/>
    <cellStyle name="60% - Accent4 5" xfId="133" xr:uid="{D87918D6-E412-4ED3-9EE6-4FB97DA70876}"/>
    <cellStyle name="60% - Accent4 6" xfId="153" xr:uid="{D27FF010-9C66-402F-B41D-1B7E88967E7B}"/>
    <cellStyle name="60% - Accent4 7" xfId="173" xr:uid="{91BA1A9F-BA97-43DE-93FC-FEA3FFA3BE2F}"/>
    <cellStyle name="60% - Accent4 8" xfId="193" xr:uid="{FCC8DE01-385A-4421-B86F-BA0A5A2ECA4A}"/>
    <cellStyle name="60% - Accent4 9" xfId="213" xr:uid="{6B04024F-7B8D-4DA0-9CCB-F0FE4C97119C}"/>
    <cellStyle name="60% - Accent5" xfId="17" builtinId="48" customBuiltin="1"/>
    <cellStyle name="60% - Accent5 10" xfId="236" xr:uid="{6D4769CB-FB2C-40C9-9490-5BF78E48D271}"/>
    <cellStyle name="60% - Accent5 11" xfId="256" xr:uid="{6F3B4856-CB33-4EF9-8DED-1942552F5964}"/>
    <cellStyle name="60% - Accent5 12" xfId="276" xr:uid="{1C64ED73-CD4E-4503-8D90-10350CAA6CC7}"/>
    <cellStyle name="60% - Accent5 13" xfId="296" xr:uid="{50D74A9F-EDC7-4B82-93C3-C4F915CB2BB4}"/>
    <cellStyle name="60% - Accent5 14" xfId="316" xr:uid="{02D1846D-8C00-4D8C-9818-2D1EEECC0AC1}"/>
    <cellStyle name="60% - Accent5 15" xfId="336" xr:uid="{C871D99C-15A2-4F5A-AA93-73275217366E}"/>
    <cellStyle name="60% - Accent5 2" xfId="75" xr:uid="{797FA622-5FA4-4949-84CA-01A05B3A9E05}"/>
    <cellStyle name="60% - Accent5 3" xfId="96" xr:uid="{EB2C2DA8-FD57-4EEB-8856-0E675C65BD86}"/>
    <cellStyle name="60% - Accent5 4" xfId="116" xr:uid="{A06E8B01-B3F3-4D56-B53A-97B391A8B3F9}"/>
    <cellStyle name="60% - Accent5 5" xfId="136" xr:uid="{9E003478-A0BB-49C0-A048-306CAC90F9E6}"/>
    <cellStyle name="60% - Accent5 6" xfId="156" xr:uid="{F4672A4D-5AEF-4ACB-B9EF-7F16CC6FD344}"/>
    <cellStyle name="60% - Accent5 7" xfId="176" xr:uid="{B34B81B2-5401-4583-9178-099252FDA650}"/>
    <cellStyle name="60% - Accent5 8" xfId="196" xr:uid="{F91A49D7-460F-44EA-AB0F-5CEAE494419C}"/>
    <cellStyle name="60% - Accent5 9" xfId="216" xr:uid="{E0BF2C37-A037-4033-BB93-47AD3AF8243E}"/>
    <cellStyle name="60% - Accent6" xfId="18" builtinId="52" customBuiltin="1"/>
    <cellStyle name="60% - Accent6 10" xfId="239" xr:uid="{2E93E2EE-E440-4692-A15F-BB44E98C869B}"/>
    <cellStyle name="60% - Accent6 11" xfId="259" xr:uid="{0E5E4A9D-2811-4D24-BF75-96FA939E30B7}"/>
    <cellStyle name="60% - Accent6 12" xfId="279" xr:uid="{E216875B-533A-4A26-BA97-D6C861F4C65E}"/>
    <cellStyle name="60% - Accent6 13" xfId="299" xr:uid="{7CD30739-1CF1-453D-91A5-EEC4C97066F6}"/>
    <cellStyle name="60% - Accent6 14" xfId="319" xr:uid="{41E353AD-5FC0-422B-BAFC-9CFC5D036ADB}"/>
    <cellStyle name="60% - Accent6 15" xfId="339" xr:uid="{7453E5F9-61C9-4A83-9EED-47359E89AB3D}"/>
    <cellStyle name="60% - Accent6 2" xfId="79" xr:uid="{82726352-2DE2-4890-82C5-7286D8C1CA21}"/>
    <cellStyle name="60% - Accent6 3" xfId="99" xr:uid="{BBABDEA1-24C8-4B30-BC6B-7112E27C5CEC}"/>
    <cellStyle name="60% - Accent6 4" xfId="119" xr:uid="{6BE050D5-C5F1-427F-B82C-5A466E850367}"/>
    <cellStyle name="60% - Accent6 5" xfId="139" xr:uid="{B988496F-349E-4991-AD20-5B64F6ED3974}"/>
    <cellStyle name="60% - Accent6 6" xfId="159" xr:uid="{48800C1B-4F2D-4071-943B-89B15D9AC18B}"/>
    <cellStyle name="60% - Accent6 7" xfId="179" xr:uid="{6C1EF2AA-377A-44AE-AD51-BF653BFB7AFC}"/>
    <cellStyle name="60% - Accent6 8" xfId="199" xr:uid="{4F0BA2E5-6FEB-44E0-9952-505B9F416330}"/>
    <cellStyle name="60% - Accent6 9" xfId="219" xr:uid="{BA1F0A62-AED1-4CA7-AE4D-1D42865C8D9D}"/>
    <cellStyle name="Accent1" xfId="19" builtinId="29" customBuiltin="1"/>
    <cellStyle name="Accent1 2" xfId="56" xr:uid="{513BF833-BF81-42E6-9BCD-43AD178E9426}"/>
    <cellStyle name="Accent2" xfId="20" builtinId="33" customBuiltin="1"/>
    <cellStyle name="Accent2 2" xfId="60" xr:uid="{0F3C6B24-D6AD-4C92-BBD8-062C244256FA}"/>
    <cellStyle name="Accent3" xfId="21" builtinId="37" customBuiltin="1"/>
    <cellStyle name="Accent3 2" xfId="64" xr:uid="{82FBEAD5-F559-414B-B122-5E850E48058C}"/>
    <cellStyle name="Accent4" xfId="22" builtinId="41" customBuiltin="1"/>
    <cellStyle name="Accent4 2" xfId="68" xr:uid="{74CC4787-B682-441B-B97A-1826E06A0B40}"/>
    <cellStyle name="Accent5" xfId="23" builtinId="45" customBuiltin="1"/>
    <cellStyle name="Accent5 2" xfId="72" xr:uid="{22093CC7-5EFB-40DC-93D4-D0B60454DAB7}"/>
    <cellStyle name="Accent6" xfId="24" builtinId="49" customBuiltin="1"/>
    <cellStyle name="Accent6 2" xfId="76" xr:uid="{A6DE1531-66DF-404C-AE88-9BC1BECD7255}"/>
    <cellStyle name="Bad" xfId="25" builtinId="27" customBuiltin="1"/>
    <cellStyle name="Bad 2" xfId="45" xr:uid="{CB874608-742E-4061-979F-45158EEA0223}"/>
    <cellStyle name="Calculation" xfId="26" builtinId="22" customBuiltin="1"/>
    <cellStyle name="Calculation 2" xfId="49" xr:uid="{C54F9D8B-9E83-4850-8D9C-601252CAC156}"/>
    <cellStyle name="Check Cell" xfId="27" builtinId="23" customBuiltin="1"/>
    <cellStyle name="Check Cell 2" xfId="51" xr:uid="{C6633CFB-FE50-44B8-82FF-D0FF495C96EA}"/>
    <cellStyle name="Explanatory Text" xfId="28" builtinId="53" customBuiltin="1"/>
    <cellStyle name="Explanatory Text 2" xfId="54" xr:uid="{8A00DBA8-4466-4291-A14A-5F34C7F57DB2}"/>
    <cellStyle name="Good" xfId="29" builtinId="26" customBuiltin="1"/>
    <cellStyle name="Good 2" xfId="44" xr:uid="{25959010-567D-4D2F-BCAE-DBFB4BA3739D}"/>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Input 2" xfId="47" xr:uid="{A24BF2AA-60B8-46A2-B63F-703AFFEA5F90}"/>
    <cellStyle name="Linked Cell" xfId="35" builtinId="24" customBuiltin="1"/>
    <cellStyle name="Linked Cell 2" xfId="50" xr:uid="{F78F3855-4FEE-443B-8374-219A33DF04D9}"/>
    <cellStyle name="Neutral" xfId="36" builtinId="28" customBuiltin="1"/>
    <cellStyle name="Neutral 2" xfId="46" xr:uid="{D265212C-6AA2-4E5A-87F3-D40B2FA6B2A2}"/>
    <cellStyle name="Normal" xfId="0" builtinId="0"/>
    <cellStyle name="Normal 10" xfId="220" xr:uid="{996528EA-723B-4E0B-B6A0-1AFECFE84BED}"/>
    <cellStyle name="Normal 11" xfId="240" xr:uid="{A5562A73-2AF6-47B1-B669-2785E343166B}"/>
    <cellStyle name="Normal 12" xfId="260" xr:uid="{A236575E-459D-450B-988C-D588F9726C01}"/>
    <cellStyle name="Normal 13" xfId="280" xr:uid="{CD3EBDF9-20B5-42D1-8322-F88A42675385}"/>
    <cellStyle name="Normal 14" xfId="300" xr:uid="{F9956933-8DE8-4785-BBC3-9A6751880086}"/>
    <cellStyle name="Normal 15" xfId="320" xr:uid="{BCE66E4D-B1E7-45A4-9C0C-9AF2B092D7BB}"/>
    <cellStyle name="Normal 2" xfId="42" xr:uid="{5049C719-E4CC-4DAC-89CB-C84C36997710}"/>
    <cellStyle name="Normal 3" xfId="80" xr:uid="{F1C536DD-AB39-4A4F-9ECE-0C3552F9F0DC}"/>
    <cellStyle name="Normal 4" xfId="100" xr:uid="{0B0015BC-281D-45DF-AE01-9671380D9D32}"/>
    <cellStyle name="Normal 5" xfId="120" xr:uid="{E53C90AA-7B59-40BF-A58E-B1ACCCA61235}"/>
    <cellStyle name="Normal 6" xfId="140" xr:uid="{8B772DFD-1C53-48C1-A28C-24881381ED6A}"/>
    <cellStyle name="Normal 7" xfId="160" xr:uid="{CBF40339-71B2-4A82-BC10-46C7EF390FAB}"/>
    <cellStyle name="Normal 8" xfId="180" xr:uid="{E18A37B3-47DE-4780-BD6A-849C4B40DFF9}"/>
    <cellStyle name="Normal 9" xfId="200" xr:uid="{1E5F1FD4-DA9C-4B30-B771-EC21D3615690}"/>
    <cellStyle name="Note" xfId="37" builtinId="10" customBuiltin="1"/>
    <cellStyle name="Note 10" xfId="221" xr:uid="{2BB0BB34-12ED-4632-AF14-5D8BD4BA1B70}"/>
    <cellStyle name="Note 11" xfId="241" xr:uid="{13304311-5508-4F52-A486-46EC376D5C25}"/>
    <cellStyle name="Note 12" xfId="261" xr:uid="{CBBB771F-2094-4305-B709-05B2273DF550}"/>
    <cellStyle name="Note 13" xfId="281" xr:uid="{B80743B0-4EA1-48BC-9355-AD9E9FFBF032}"/>
    <cellStyle name="Note 14" xfId="301" xr:uid="{C03FB054-EB4E-4AA8-9EF2-3E5C449992F9}"/>
    <cellStyle name="Note 15" xfId="321" xr:uid="{C0EBA609-F725-4F36-99D9-50829A2C0BF6}"/>
    <cellStyle name="Note 2" xfId="53" xr:uid="{814B434F-51FD-4E76-9EAC-C34888925E40}"/>
    <cellStyle name="Note 3" xfId="81" xr:uid="{3DA241A4-52B9-4C28-A6A0-97F454B76FCC}"/>
    <cellStyle name="Note 4" xfId="101" xr:uid="{CD9ADE02-21EA-4541-90B9-49F4BDF4156E}"/>
    <cellStyle name="Note 5" xfId="121" xr:uid="{690DA573-8A94-4649-9D29-80C043922C6E}"/>
    <cellStyle name="Note 6" xfId="141" xr:uid="{6A352357-5AEC-48B4-AD8B-27204663C282}"/>
    <cellStyle name="Note 7" xfId="161" xr:uid="{9853DDF5-E58E-4C8D-B8D7-250074FC39B0}"/>
    <cellStyle name="Note 8" xfId="181" xr:uid="{0B3F8AF8-A3CA-4C43-A3D1-5CABDBBCEAEB}"/>
    <cellStyle name="Note 9" xfId="201" xr:uid="{0567F1F4-312C-4F53-95B3-8AFB5CC8EF90}"/>
    <cellStyle name="Output" xfId="38" builtinId="21" customBuiltin="1"/>
    <cellStyle name="Output 2" xfId="48" xr:uid="{8DFB1DFE-3457-46B9-8085-32D6688D9F24}"/>
    <cellStyle name="Title" xfId="39" builtinId="15" customBuiltin="1"/>
    <cellStyle name="Title 2" xfId="43" xr:uid="{87F9D383-05A2-4395-AA2E-28A94140F55E}"/>
    <cellStyle name="Total" xfId="40" builtinId="25" customBuiltin="1"/>
    <cellStyle name="Total 2" xfId="55" xr:uid="{DF848DB6-DE76-442F-BB91-156A1489165D}"/>
    <cellStyle name="Warning Text" xfId="41" builtinId="11" customBuiltin="1"/>
    <cellStyle name="Warning Text 2" xfId="52" xr:uid="{EA6D431C-2762-4648-B881-18A1E8B0F6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yayini Kamath" refreshedDate="46219.861763773151" createdVersion="8" refreshedVersion="8" minRefreshableVersion="3" recordCount="159" xr:uid="{C8AE6771-D3A4-4CE9-98A0-50B1DF8A7AA1}">
  <cacheSource type="worksheet">
    <worksheetSource ref="A1:V160" sheet="main data"/>
  </cacheSource>
  <cacheFields count="20">
    <cacheField name="ID" numFmtId="0">
      <sharedItems containsString="0" containsBlank="1" containsNumber="1" containsInteger="1" minValue="10940504" maxValue="11244151"/>
    </cacheField>
    <cacheField name="Title" numFmtId="0">
      <sharedItems containsBlank="1"/>
    </cacheField>
    <cacheField name="Entity" numFmtId="0">
      <sharedItems containsBlank="1"/>
    </cacheField>
    <cacheField name="Status" numFmtId="0">
      <sharedItems containsBlank="1" count="4">
        <s v="Processing (assigned)"/>
        <s v="New"/>
        <s v="Pending"/>
        <m/>
      </sharedItems>
    </cacheField>
    <cacheField name="Assigned to - Assignment Group" numFmtId="0">
      <sharedItems containsBlank="1" count="9">
        <s v="K-PLTools-AIOPs-Global-Delivery-Support"/>
        <s v="K-PLTools-AIOPs-EU-Delivery-Support"/>
        <s v="K-PLTools-AIOPs-Americas-Delivery-Support"/>
        <s v="K-PLTools-AIOPs-JP-Delivery-Support"/>
        <s v="K-PLTools-AIOPs-IN-Delivery-Support"/>
        <s v="K-PLTools-AIOPs-ACME-Delivery-Support"/>
        <s v="K-PLTools-AIOPs-AP-Delivery-Support"/>
        <s v="K-PLTools-AIOPs-Bridge-Delivery-Support"/>
        <m/>
      </sharedItems>
    </cacheField>
    <cacheField name="Assigned to - Assigned To" numFmtId="0">
      <sharedItems containsBlank="1"/>
    </cacheField>
    <cacheField name="Requester - Requester" numFmtId="0">
      <sharedItems containsBlank="1" count="138">
        <s v="Ankur Goyal"/>
        <s v="PRIYA HIREMATH"/>
        <s v="Luan Silva de Oliveira"/>
        <s v="Ujjwal Tuladhar"/>
        <s v="Marta TerjÃ©k"/>
        <s v="Pullarao Kukkala"/>
        <s v="Joan Manuel Boulangger"/>
        <s v="Karolina Herzyk"/>
        <s v="Ajay Chriscoe"/>
        <s v="Merwin Kumar G"/>
        <s v="Ricardo Hortencio"/>
        <s v="Waqeel Hasan Khan"/>
        <s v="Mohd Anwer Khan"/>
        <s v="SREENIVAS CHETTIAR"/>
        <s v="SHOKO MURAYAMA"/>
        <s v="Jongmin Lee"/>
        <s v="PL_TOOLS Integration ** PL_TOOLS MNE - Netcool integration**"/>
        <s v="Freddy Alexander Cruz Martinez"/>
        <s v="Martina MazlovÃ¡"/>
        <s v="RAUL ROJAS"/>
        <s v="Bikram Jha"/>
        <s v="MARIA TERESA INACIO"/>
        <s v="Thalla Bhargavi"/>
        <s v="Sachin Sharma"/>
        <s v="Suresh Bind"/>
        <s v="Kimberly Pruett"/>
        <s v="Marina Martin"/>
        <s v="MANASA K"/>
        <s v="Kannan Ramanan"/>
        <s v="SHINE M N"/>
        <s v="KARTHIKEYAN P"/>
        <s v="Wilson Yanez Barcia"/>
        <s v="Aldo Gabriel Galan Tume"/>
        <s v="BRAJESH JAISWAL"/>
        <s v="Deepika Boldara"/>
        <s v="ASHID PATHAN"/>
        <s v="Michael Huamancaja"/>
        <s v="Kuddala Sabitha"/>
        <s v="Ranjith Goud Boddu"/>
        <s v="DETRANTO SOEBROTO"/>
        <s v="Vattikuti Ramya"/>
        <s v="Giorgio Parolini"/>
        <s v="Abhishek Choudhary"/>
        <s v="SUNDARESH SHANKAR"/>
        <s v="Kavya Sanam"/>
        <s v="DEEPA K"/>
        <s v="RAJENDRA BATHULA"/>
        <s v="Luciano Magnavacchi"/>
        <s v="Bruno Diego da Silva"/>
        <s v="Mauricio Campanaro Ferreira"/>
        <s v="Andre Luis Lazzari"/>
        <s v="Daniel Storti Clementino Barbosa"/>
        <s v="EULOGIO FABIAN OCURA"/>
        <s v="Kathyayini Kamath"/>
        <s v="Paulina Jaworska"/>
        <s v="Arun Gopan"/>
        <s v="Murugesan M"/>
        <s v="Parashuram Nikam"/>
        <s v="Varshaswi Bashaboina"/>
        <s v="Dharm Gupta"/>
        <s v="YOSHIMASA OHMURA"/>
        <s v="ATUL GULATI"/>
        <s v="Akihisa Hatta"/>
        <s v="MARIKO ONO"/>
        <s v="Jurgen Prudencio"/>
        <s v="Will Mansell"/>
        <s v="Sergio Andres Duque Galeano"/>
        <s v="Hugo Andres Vazquez"/>
        <s v="Ashok Jaggavarapu"/>
        <s v="Pete Gegen"/>
        <s v="Iezo Alceu Tafarelo"/>
        <s v="Susana Vieira Da Silva"/>
        <s v="Mateusz Lechowicz"/>
        <s v="NITIK KUMAR"/>
        <s v="Luciano Augusto das Chagas Vecchia"/>
        <s v="Izabelle Nascimento"/>
        <s v="NAGENDRA BABU KUCHIMANCHI"/>
        <s v="THARUNA MADDIPUDI"/>
        <s v="Martin SurÃ½"/>
        <s v="Debbie Wertz"/>
        <s v="Sayed Ibrahim Inamdar"/>
        <s v="Lekha Palli"/>
        <s v="William Metcalf"/>
        <s v="Amrita Nandy"/>
        <s v="Santiago Gamboa"/>
        <s v="Ismael Fernandez"/>
        <s v="Monica Spagnol Bertini"/>
        <s v="Shakeel Danish"/>
        <s v="Thirumurugan Mayandi"/>
        <s v="Pawan Kumar"/>
        <s v="Casey Furkin"/>
        <s v="David Daniel Cazo Quispe"/>
        <s v="Sneha ."/>
        <s v="Anand Neelakantan"/>
        <s v="Isaac Injeti"/>
        <s v="Alexsandra P Jesus"/>
        <s v="Komal Rahim"/>
        <s v="Ricardo Tozelli Nolli"/>
        <s v="ARJUN GOPINATH"/>
        <s v="Jyothi Daggumalli"/>
        <s v="Adam RzÄ…sa"/>
        <s v="Teppei Yamaguchi"/>
        <s v="Shivakumar N"/>
        <s v="Filippo Tramonto"/>
        <s v="Preethu S R"/>
        <s v="Mateusz RÄ™beliÅ„ski"/>
        <s v="Laurent Massin"/>
        <s v="Bipin Varghese"/>
        <s v="Diego Picho"/>
        <s v="Tatiana Colorado"/>
        <s v="Hem Chander"/>
        <s v="Luis Marcelo Lopez Chavarrea"/>
        <s v="EDUARDO AZEVEDO"/>
        <s v="PAPPU SINGH"/>
        <s v="Eloisa Cid Marquesi"/>
        <s v="Shawn Hesson"/>
        <s v="Sreedhar Kanithi"/>
        <s v="Suresh Gangatharan"/>
        <s v="Katarzyna Struzik"/>
        <s v="Rajesh Shah"/>
        <m/>
        <s v="Sriparthasarathy Ramanujachary" u="1"/>
        <s v="VojtÄ›ch ForgaÄ" u="1"/>
        <s v="MaÅ‚gorzata Lejkowska" u="1"/>
        <s v="ERIC MANGADO" u="1"/>
        <s v="Rebecca Carvalho Sarkis" u="1"/>
        <s v="VAISHNAVI PRABHU" u="1"/>
        <s v="RAJENDRA NANDAGUDI" u="1"/>
        <s v="Amitava Saha" u="1"/>
        <s v="Moreno Angelo Paisi" u="1"/>
        <s v="Ashwin V" u="1"/>
        <s v="Mateusz SÅ‚owiÅ„ski" u="1"/>
        <s v="Bertrand Bove" u="1"/>
        <s v="Chiara Novello" u="1"/>
        <s v="Advik Dutt" u="1"/>
        <s v="Siva Paibonu" u="1"/>
        <s v="Petr MaÅ™Ã¡k" u="1"/>
        <s v="KlÃ¡ra BerounovÃ¡" u="1"/>
      </sharedItems>
    </cacheField>
    <cacheField name="Impact" numFmtId="0">
      <sharedItems containsBlank="1"/>
    </cacheField>
    <cacheField name="Problems - Opening date" numFmtId="0">
      <sharedItems containsNonDate="0" containsString="0" containsBlank="1"/>
    </cacheField>
    <cacheField name="Description" numFmtId="0">
      <sharedItems containsBlank="1" longText="1"/>
    </cacheField>
    <cacheField name="Priority" numFmtId="0">
      <sharedItems containsBlank="1" count="4">
        <s v="Medium"/>
        <s v="High"/>
        <s v="Low"/>
        <m/>
      </sharedItems>
    </cacheField>
    <cacheField name="Reported Priority" numFmtId="0">
      <sharedItems containsBlank="1"/>
    </cacheField>
    <cacheField name="Urgency" numFmtId="0">
      <sharedItems containsBlank="1"/>
    </cacheField>
    <cacheField name="Opening date" numFmtId="22">
      <sharedItems containsNonDate="0" containsDate="1" containsString="0" containsBlank="1" minDate="2026-04-29T13:03:00" maxDate="2026-07-16T18:50:00"/>
    </cacheField>
    <cacheField name="Category" numFmtId="0">
      <sharedItems containsBlank="1"/>
    </cacheField>
    <cacheField name="Type" numFmtId="0">
      <sharedItems containsBlank="1" count="3">
        <s v="Incident"/>
        <s v="Request"/>
        <m/>
      </sharedItems>
    </cacheField>
    <cacheField name="Last update" numFmtId="22">
      <sharedItems containsNonDate="0" containsDate="1" containsString="0" containsBlank="1" minDate="2026-06-25T14:44:00" maxDate="2026-07-16T20:29:00"/>
    </cacheField>
    <cacheField name="SLA Bucket" numFmtId="0">
      <sharedItems containsBlank="1" count="9">
        <s v="01_03 Days"/>
        <s v="11_15 Days"/>
        <s v="06_10 Days"/>
        <s v="16_30 Days"/>
        <s v="00_24 Hours"/>
        <s v="04_05 Days"/>
        <s v="31_60 Days"/>
        <s v="&gt;60 Days"/>
        <m/>
      </sharedItems>
    </cacheField>
    <cacheField name="Field19" caption="Field19" numFmtId="0">
      <sharedItems containsNonDate="0" containsString="0" containsBlank="1"/>
    </cacheField>
    <cacheField name="Field20" caption="Field20"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9">
  <r>
    <n v="11234593"/>
    <s v="Transformation Scorecard dashboard data issues"/>
    <s v="EMEA &gt; PROD &gt; KDL &gt; PL_TOOLS"/>
    <x v="0"/>
    <x v="0"/>
    <s v="Kathyayini Kamath"/>
    <x v="0"/>
    <s v="Medium"/>
    <m/>
    <s v="PLATFORM TOOLS - BASIC DETAILS 1) CAPABILITY/TOOL: Integrated AIOps (AIOPS) 2) SHORT DESCRIPTION: Transformation Scorecard dashboard data issues 3) DESCRIPTION OF ISSUE: I have observed some discrepancies within the data updated in Transformation Scorecard for Advanced Delivery Metric details. For Jun 2026 time, * Onboarding state is shown as â€œEnabledâ€ for all Canada accounts * LoA % and Abend Rate % is showing as 0% for all the accounts within Jun 2026 * Incident per Server per Month calculation * Multiple records are shown with both BAC and BAM ID having the same data for both number of servers and projected tickets * Overall summary is adding up all number of servers and projected tickets to calculate the overall value of the account, which is not correct. 4) KYNDRYL BRIDGE CUSTOMER FOR AIOPS LOOKUP (IF KNOWN): A.P. Moller Maersk - apm (BAC00005D7-DK) es.ams1 5) ORG MARKET: US Shared 6) WATCH LIST: 7) REPORTED PRIORITY: P2 - High (Sev2) 8) ADDITIONAL DETAILS: There is NO option to select &quot;Global&quot; or &quot;All Customers&quot; in customer field so selected APMM There is NO option to select &quot;Global&quot; in Org Market field so selected US Shared PLATFORM TOOLS - INTEGRATED AIOPS (AIOPS) DETAILS 1) AIOPS LOCATION: Integrated AIOPs - Global 2) AIOPS INSTANCE: Global 3) AIOPS DATA PLANE: 4) WHERE ON THE WEB PAGE IS THE ISSUE LOCATED?: Home &gt; Header &gt; Insights &gt; Dashboards 5) WHAT SUBCATEGORY OF THE LOCATION IS THE ISSUE RELATED TO?: Transformation Scorecard 6) URL OF THE WEB PAGE DISPLAYING THE ISSUE: 7) WHAT IS THE ISSUE?: Incorrect data"/>
    <x v="0"/>
    <s v="High"/>
    <s v="Medium"/>
    <d v="2026-07-14T18:24:00"/>
    <s v="PL_TOOLS &gt; AIOPS"/>
    <x v="0"/>
    <d v="2026-07-16T20:29:00"/>
    <x v="0"/>
    <m/>
    <m/>
  </r>
  <r>
    <n v="11192577"/>
    <s v="Decommissioned devices are still showing up on VMI Dashboard"/>
    <s v="EMEA &gt; PROD &gt; KDL &gt; PL_TOOLS"/>
    <x v="1"/>
    <x v="1"/>
    <m/>
    <x v="1"/>
    <s v="Medium"/>
    <m/>
    <s v="PLATFORM TOOLS - BASIC DETAILS 1) CAPABILITY/TOOL: Inventory Service (IS) 2) SHORT DESCRIPTION: Decommissioned devices are still showing up on VMI Dashboard 3) DESCRIPTION OF ISSUE: Decommissioned devices are still showing up on VMI Dashboard, where patching required field is set to N, beyond that we are able to see the open CVE for these devices on VMI Dashboard. Need some permanent fix on this pls. 4) CUSTOMER IMPACTED?: No 5) CUSTOMER BLUEID LOOKUP (IF KNOWN): *Not a customer account / not found 6) GSMA CODE: 7) NAME: GCS - N&amp;E - Software Defined Data Center (SDDC), Global (GCSNNWPWW-SDDC) 8) BAC / BAM ID: BAC8A0B010 9) COUNTRY: 10) WATCH LIST: Thiyagarajan Senthilkumar, V HEMALATHA, M DHANALAKSHMI, Tazeen Tasmiya, Mathiyalagan Vidhya sri, Palani Vaidiswari, DAVE NAINESH 11) REPORTED PRIORITY: P2 - High (Sev2) 12) ADDITIONAL DETAILS: This is impacting our Patch Metrics. Please find the below listed device list. ij7h-cpmpf-twn-inf-tbb-bectond-vs01 ij7g-cpmpf-twn-inf-tba-ravago-vs01 ij7g-cpmpf-twn-inf-tba-solvay-vs01 ij7g-fpmpf-twn-inf-tc-p ij7g-cpmpf-twn-inf-tba-bectond-vs01 ij7h-cpmpf-twn-inf-tbb-solvay-vs01 ij7g-cpmpf-twn-inf-tba-vpncxt01-vs01 ij7g-cpmpf-twn-inf-tba-storebrd-vs01 ij7h-cpmpf-twn-inf-tbb-schulman-vs01 ij7h-cpmpf-twn-inf-tbb-ravago-vs01 ij7g-cpmpf-twn-inf-tba_epiroc-vs01 ij7h-cpmpf-twn-inf-tbb-storebrd-vs01 ij7g-fpmpf-twn-inf-tb-s ij7g-fpmpf-twn-inf-tb-admin-s ij7h-cpmpf-twn-inf-tbb-vpncxt01-vs01 ij7g-fpmpf-twn-inf-tc-s ij7g-cpmpf-twn-inf-tba-schulman-vs01 ij7g-fpmpf-twn-inf-tb-p ij7g-fpmpf-twn-inf-tc-admin-p ij7h-cpmpf-twn-inf-tbb-fluvius-vs01 ij7h-cpmpf-twn-inf-tbb_epiroc-vs01 ij7g-fpmpf-twn-inf-tc-admin-s ij7h-cpmpf-twn-inf-tbb-carfour-vs01 ij7g-cpmpf-twn-inf-tba-carfour-vs01 ij7g-fpmpf-twn-inf-tb-admin-p ij7g-cpmpf-twn-inf-tba-fluvius-vs01 ij7g-cpmngr-twn-inf-01a PLATFORM TOOLS - INVENTORY SERVICE (IS) DETAILS 1) LOCATION OF CAPABILITY/TOOL INSTANCE: India_Onlyâ€‹ 2) ISSUE CATEGORY: F1 Dashboard"/>
    <x v="1"/>
    <s v="High"/>
    <s v="High"/>
    <d v="2026-07-02T16:48:00"/>
    <s v="PL_TOOLS &gt; IS"/>
    <x v="0"/>
    <d v="2026-07-16T20:02:00"/>
    <x v="1"/>
    <m/>
    <m/>
  </r>
  <r>
    <n v="11215353"/>
    <s v="Transformation Scorecard is not showing all metrics for all accts"/>
    <s v="EMEA &gt; PROD &gt; KDL &gt; PL_TOOLS"/>
    <x v="0"/>
    <x v="0"/>
    <s v="Kathyayini Kamath"/>
    <x v="2"/>
    <s v="Medium"/>
    <m/>
    <s v="Transformation Scorecard is not showing all metrics for all accts, for example IT Health Metrics (Inventory, Best Practice Performance, Best Practice Coverage, Automation) are not showing for Celestica for example, but is showing for accts Banque Laurentian, Investors and Payments Canada for example. I'm adding details of what is currently in Transformation Scorecard for Canada and Celestica specifically, also showing what is actually showing in the individual Performance Dashboards for the account. Need help figuring out why the Global Transformation Scorecard isn't showing the values even though the data is showing up in the regional performance dashboards."/>
    <x v="0"/>
    <s v="Medium"/>
    <s v="Medium"/>
    <d v="2026-07-08T21:12:00"/>
    <s v="PL_TOOLS"/>
    <x v="0"/>
    <d v="2026-07-16T19:58:00"/>
    <x v="2"/>
    <m/>
    <m/>
  </r>
  <r>
    <n v="11157262"/>
    <s v="PL_Tools Incident - Integrated AIOps (AIOPS)"/>
    <s v="EMEA &gt; PROD &gt; KDL &gt; PL_TOOLS"/>
    <x v="0"/>
    <x v="0"/>
    <s v="Kathyayini Kamath"/>
    <x v="3"/>
    <s v="Medium"/>
    <m/>
    <s v="PLATFORM TOOLS - BASIC DETAILS 1) CAPABILITY/TOOL: Integrated AIOps (AIOPS) 2) SHORT DESCRIPTION: Missing data in GCM Dashboard 3) DESCRIPTION OF ISSUE: Data is missing from GCM Dashboard after 12/June 4) KYNDRYL BRIDGE CUSTOMER FOR AIOPS LOOKUP (IF KNOWN): MultiChoice - mu1 (BAM0004730-ZA) es.ams1 5) ORG MARKET: France 6) WATCH LIST: 7) REPORTED PRIORITY: P3 - Medium (Sev3) 8) ADDITIONAL DETAILS: 9) ATTACHMENTS (EVIDENCE, SCREENSHOTS, LOGS,ETC): Missing Data GCM dashboard.png PLATFORM TOOLS - INTEGRATED AIOPS (AIOPS) DETAILS 1) AIOPS LOCATION: Integrated AIOPs - Global 2) AIOPS INSTANCE: Global 3) AIOPS DATA PLANE: Global 4) WHERE ON THE WEB PAGE IS THE ISSUE LOCATED?: Home &gt; Header &gt; Insights &gt; Dashboards 5) WHAT SUBCATEGORY OF THE LOCATION IS THE ISSUE RELATED TO?: Dashboard 6) URL OF THE WEB PAGE DISPLAYING THE ISSUE: https://www.kyndryl.com/bridge/aiops/insights/dashboard/e63e21ca-818e-4d70-9ea4-eeda5ddd348b/ 7) WHAT IS THE ISSUE?: Missing data"/>
    <x v="0"/>
    <s v="Medium"/>
    <s v="Medium"/>
    <d v="2026-06-23T15:23:00"/>
    <s v="PL_TOOLS &gt; AIOPS"/>
    <x v="0"/>
    <d v="2026-07-16T19:47:00"/>
    <x v="3"/>
    <m/>
    <m/>
  </r>
  <r>
    <n v="11157750"/>
    <s v="PL_Tools Incident - Integrated AIOps (AIOPS)"/>
    <s v="EMEA &gt; PROD &gt; KDL &gt; PL_TOOLS"/>
    <x v="0"/>
    <x v="1"/>
    <s v="OndÅ™ej CÃ­cha"/>
    <x v="4"/>
    <s v="Low"/>
    <m/>
    <s v="PLATFORM TOOLS - BASIC DETAILS 1) CAPABILITY/TOOL: Integrated AIOps (AIOPS) 2) SHORT DESCRIPTION: Valmet (MEA) - Missing backup information in IBM i - WWTS Backup Report Status 3) DESCRIPTION OF ISSUE: Customer: Valmet (Metso) System M3BAK Issue: Data are collected on the server as they should be but they are not visible in AIOps which indicates problem between HUB and AIOps. Data are on EMIBM040 hub. 4) KYNDRYL BRIDGE CUSTOMER FOR AIOPS LOOKUP (IF KNOWN): Metso Automation - mea (BAC0000A32-FI) es.ams1 5) ORG MARKET: Strategic Markets 6) WATCH LIST: 7) REPORTED PRIORITY: P4 - Low (Sev4) 8) ADDITIONAL DETAILS: 9) ATTACHMENTS (EVIDENCE, SCREENSHOTS, LOGS,ETC): image (13).png PLATFORM TOOLS - INTEGRATED AIOPS (AIOPS) DETAILS 1) AIOPS LOCATION: Integrated AIOPs - EU 2) AIOPS INSTANCE: Europe 3) AIOPS DATA PLANE: 4) WHERE ON THE WEB PAGE IS THE ISSUE LOCATED?: Home &gt; Header &gt; Insights &gt; Dashboards 5) WHAT SUBCATEGORY OF THE LOCATION IS THE ISSUE RELATED TO?: Failed Backups 6) URL OF THE WEB PAGE DISPLAYING THE ISSUE: insight - &gt; Dashboards -&gt; Mainframe Management -&gt; IBM i - WWTS Backup Report Status 7) WHAT IS THE ISSUE?: Missing data"/>
    <x v="2"/>
    <s v="Low"/>
    <s v="Low"/>
    <d v="2026-06-23T17:18:00"/>
    <s v="PL_TOOLS &gt; AIOPS"/>
    <x v="0"/>
    <d v="2026-07-16T19:23:00"/>
    <x v="3"/>
    <m/>
    <m/>
  </r>
  <r>
    <n v="11244151"/>
    <s v="NIBCO- Model number (Case Sensitive)"/>
    <s v="EMEA &gt; PROD &gt; KDL &gt; PL_TOOLS"/>
    <x v="0"/>
    <x v="2"/>
    <s v="Sneha S"/>
    <x v="5"/>
    <s v="High"/>
    <m/>
    <s v="PLATFORM TOOLS - BASIC DETAILS 1) CAPABILITY/TOOL: Integrated AIOps (AIOPS) 2) SHORT DESCRIPTION: NIBCO- Model number (Case Sensitive) 3) DESCRIPTION OF ISSUE: The customer is seeing below error. Model number needs to be changed to upper case. ERROR: Model does not belong to l-lic-ct5508-50a, expected L-LIC-CT5508-50A 4) KYNDRYL BRIDGE CUSTOMER FOR AIOPS LOOKUP (IF KNOWN): DWS-NIBCO INC - n5b (BAC0003A16-US) es.was1 5) ORG MARKET: US Shared 6) WATCH LIST: Gupta Dharm 7) REPORTED PRIORITY: P1 - Critical (Sev1) 8) ADDITIONAL DETAILS: PLATFORM TOOLS - INTEGRATED AIOPS (AIOPS) DETAILS 1) AIOPS LOCATION: Integrated AIOPs - NA 2) AIOPS INSTANCE: Americas 3) AIOPS DATA PLANE: 4) WHERE ON THE WEB PAGE IS THE ISSUE LOCATED?: Home &gt; Header &gt; Home 5) WHAT SUBCATEGORY OF THE LOCATION IS THE ISSUE RELATED TO?: Network 6) URL OF THE WEB PAGE DISPLAYING THE ISSUE: 7) WHAT IS THE ISSUE?: Configuration"/>
    <x v="1"/>
    <s v="Very High"/>
    <s v="Medium"/>
    <d v="2026-07-16T18:50:00"/>
    <s v="PL_TOOLS &gt; AIOPS"/>
    <x v="0"/>
    <d v="2026-07-16T19:15:00"/>
    <x v="4"/>
    <m/>
    <m/>
  </r>
  <r>
    <n v="11223612"/>
    <s v="Mismatch in EOS/EOL Asset Count for Network"/>
    <s v="EMEA &gt; PROD &gt; KDL &gt; PL_TOOLS"/>
    <x v="0"/>
    <x v="1"/>
    <s v="Theodoros Gkekas"/>
    <x v="6"/>
    <s v="Medium"/>
    <m/>
    <s v="The number of assets displayed in the NETWORK section of Inventory Service does not match the count shown on the EOS/EOL dashboard. For the Operating System, Storage, LPAR, and Server sections, the values match correctly. The current numbers are: * Operating System: 2368 * Network: 2109 (the actual value in Inventory Service is 1106) * Server: 784 * Subsystem: 652 * Storage: 45 * LPAR: 7 GSMA_CODE: MIP ACCOUNT: Mibanco Peru"/>
    <x v="0"/>
    <s v="Medium"/>
    <s v="Medium"/>
    <d v="2026-07-11T01:51:00"/>
    <s v="PL_TOOLS &gt; AIOPS"/>
    <x v="0"/>
    <d v="2026-07-16T19:10:00"/>
    <x v="2"/>
    <m/>
    <m/>
  </r>
  <r>
    <n v="11243946"/>
    <s v="HC reports from ECM not showing on the AIOPS dashboard"/>
    <s v="EMEA &gt; PROD &gt; KDL &gt; PL_TOOLS"/>
    <x v="0"/>
    <x v="1"/>
    <s v="Theodoros Gkekas"/>
    <x v="7"/>
    <s v="Medium"/>
    <m/>
    <s v="PLATFORM TOOLS - BASIC DETAILS 1) CAPABILITY/TOOL: Integrated AIOps (AIOPS) 2) SHORT DESCRIPTION: HC reports from ECM not showing on the AIOPS dashboard 3) DESCRIPTION OF ISSUE: HC reports from ECM not showing on the AIOPS dashboard - Average HC Deviations per system for the customer FSTECH-IBM-GARA5 and FSTECH-IBM-GARA4. Please find in the attachment screenshots of the devices that we have with loaded reports in ECM; these are not visible in AIOPS at all. 4) KYNDRYL BRIDGE CUSTOMER FOR AIOPS LOOKUP (IF KNOWN): FSTECH-IBM-GARA4 - fg4 (BAC00039BC-IT) es.ams1 5) ORG MARKET: Italy 6) WATCH LIST: RosiÅ„ska Jadwiga, Czerwik Agata 7) REPORTED PRIORITY: P3 - Medium (Sev3) 8) ADDITIONAL DETAILS: PLATFORM TOOLS - INTEGRATED AIOPS (AIOPS) DETAILS 1) AIOPS LOCATION: Integrated AIOPs - EU 2) AIOPS INSTANCE: Europe 3) AIOPS DATA PLANE: 4) WHERE ON THE WEB PAGE IS THE ISSUE LOCATED?: Home &gt; IT Health Indicators 5) WHAT SUBCATEGORY OF THE LOCATION IS THE ISSUE RELATED TO?: Average Healthcheck Deviations per System 6) URL OF THE WEB PAGE DISPLAYING THE ISSUE: https://www.kyndryl.com/bridge/aiops/insights/dashboard/es.ams1.dea8e44f-28a5-4615-995e-d2987d6ff048?_a=(filters:!((query:(terms:(contract_id:!(%27BAC00039BC%27,%27BAM000593A%27))))))&amp;_g=(filters:!(),refreshInterval:(pause:!t,value:0),time:(from:now-90d/d,to:now))&amp;bootstrap=false 7) WHAT IS THE ISSUE?: Component failure"/>
    <x v="0"/>
    <s v="Medium"/>
    <s v="Medium"/>
    <d v="2026-07-16T18:03:00"/>
    <s v="PL_TOOLS &gt; AIOPS"/>
    <x v="0"/>
    <d v="2026-07-16T19:09:00"/>
    <x v="4"/>
    <m/>
    <m/>
  </r>
  <r>
    <n v="11220007"/>
    <s v="AIOPS - DSS for Incoming Incident Tickets hung/not processing"/>
    <s v="EMEA &gt; PROD &gt; KDL &gt; PL_TOOLS"/>
    <x v="0"/>
    <x v="2"/>
    <s v="Shreyani Ginna"/>
    <x v="8"/>
    <s v="Medium"/>
    <m/>
    <s v="PLATFORM TOOLS - BASIC DETAILS 1) CAPABILITY/TOOL: Integrated AIOps (AIOPS) 2) SHORT DESCRIPTION: AIOPS - DSS for Incoming Incident Tickets hung/not processing 3) DESCRIPTION OF ISSUE: Looking at Max Open Dates for several accounts showing last update on July 9 from 2:04 - 05:15 AM. Currently about 5-8 hours behind. 4) KYNDRYL BRIDGE CUSTOMER FOR AIOPS LOOKUP (IF KNOWN): BNSF Railway Company - bnf, bsf (BAC0000FC2) es.was1 5) ORG MARKET: US Shared 6) WATCH LIST: JAYARAMAN KARTHICK 7) REPORTED PRIORITY: P3 - Medium (Sev3) 8) ADDITIONAL DETAILS: Also impacting: Avis Budget Group, Delta Air Lines, Hertz, Workwear Outfitters. All are using es.was1 . 9) ATTACHMENTS (EVIDENCE, SCREENSHOTS, LOGS,ETC): AIOPs-Incident-DSS-lagging_2026-07-09.docx PLATFORM TOOLS - INTEGRATED AIOPS (AIOPS) DETAILS 1) AIOPS LOCATION: Integrated AIOPs - NA 2) AIOPS INSTANCE: Americas 3) AIOPS DATA PLANE: es.was1 4) WHERE ON THE WEB PAGE IS THE ISSUE LOCATED?: Home &gt; Side bar 5) WHAT SUBCATEGORY OF THE LOCATION IS THE ISSUE RELATED TO?: Data Flow 6) URL OF THE WEB PAGE DISPLAYING THE ISSUE: https://www.kyndryl.com/bridge/aiops/insights/dashboard/cbe012ad-bae8-44c6-bf40-48d18503effc/ 7) WHAT IS THE ISSUE?: Missing data"/>
    <x v="0"/>
    <s v="Medium"/>
    <s v="Medium"/>
    <d v="2026-07-09T23:40:00"/>
    <s v="PL_TOOLS &gt; AIOPS"/>
    <x v="0"/>
    <d v="2026-07-16T18:54:00"/>
    <x v="2"/>
    <m/>
    <m/>
  </r>
  <r>
    <n v="11240365"/>
    <s v="Am the Wawa DPE ( merwin.kumar.g@kyndryl.com) and need access to upload BYOD to AIops Wawa Inc instance"/>
    <s v="EMEA &gt; PROD &gt; KDL &gt; PL_TOOLS"/>
    <x v="0"/>
    <x v="2"/>
    <s v="Ravi Vadapally"/>
    <x v="9"/>
    <s v="Medium"/>
    <m/>
    <s v="PLATFORM TOOLS - BASIC DETAILS 1) SHORT DESCRIPTION: Am the Wawa DPE ( merwin.kumar.g@kyndryl.com) and need access to upload BYOD to AIops Wawa Inc instance 2) DESCRIPTION OF REQUEST: Am the Wawa DPE ( merwin.kumar.g@kyndryl.com) and need access to upload BYOD to AIops Wawa Inc instance 3) CAPABILITY/TOOL: Integrated AIOps (AIOPS) 4) KYNDRYL BRIDGE CUSTOMER FOR AIOPS LOOKUP (IF KNOWN): Wawa Inc - awu, wa2 (BAC00029C1-US) es.was1 5) ORG MARKET: USA 6) ADDITIONAL DETAILS: 7) NOTIFY: PLATFORM TOOLS - INTEGRATED AIOPS (AIOPS) DETAILS 1) AIOPS LOCATION: Integrated AIOPs - NA 2) AIOPS INSTANCE: Americas 3) TYPE OF REQUEST: AIOPS - BYOD"/>
    <x v="0"/>
    <s v="Medium"/>
    <s v="Medium"/>
    <d v="2026-07-16T00:10:00"/>
    <s v="PL_TOOLS &gt; AIOPS"/>
    <x v="1"/>
    <d v="2026-07-16T18:41:00"/>
    <x v="4"/>
    <m/>
    <m/>
  </r>
  <r>
    <n v="11240576"/>
    <s v="MBO metrics not recorded"/>
    <s v="EMEA &gt; PROD &gt; KDL &gt; PL_TOOLS"/>
    <x v="0"/>
    <x v="2"/>
    <s v="Kathyayini Kamath"/>
    <x v="10"/>
    <s v="Medium"/>
    <m/>
    <s v="PLATFORM TOOLS - BASIC DETAILS 1) CAPABILITY/TOOL: Integrated AIOps (AIOPS) 2) SHORT DESCRIPTION: MBO metrics not recorded 3) DESCRIPTION OF ISSUE: MBO metrics not recorded in the Transformation scorecard dashboard in AIOPs. Since May/2026 all metrics are wrongly shown as 0% (see attached screenshot for reference). BACID: BAC000104B GSMA code: dow 4) KYNDRYL BRIDGE CUSTOMER FOR AIOPS LOOKUP (IF KNOWN): Dow Inc - dow (BAC000104B-US) es.was1 5) ORG MARKET: US Shared 6) WATCH LIST: Anderson Nicodemo Caio 7) REPORTED PRIORITY: P3 - Medium (Sev3) 8) ADDITIONAL DETAILS: 9) ATTACHMENTS (EVIDENCE, SCREENSHOTS, LOGS,ETC): Screenshot 2026-07-15 at 5.22.06â€¯PM.png PLATFORM TOOLS - INTEGRATED AIOPS (AIOPS) DETAILS 1) AIOPS LOCATION: Integrated AIOPs - NA 2) AIOPS INSTANCE: Americas 3) AIOPS DATA PLANE: 4) WHERE ON THE WEB PAGE IS THE ISSUE LOCATED?: Home &gt; Header &gt; Insights &gt; Dashboards 5) WHAT SUBCATEGORY OF THE LOCATION IS THE ISSUE RELATED TO?: Transformation Scorecard 6) URL OF THE WEB PAGE DISPLAYING THE ISSUE: https://www.kyndryl.com/bridge/aiops/insights/dashboard/c274c64e-543e-47b9-b681-1a442002f9f8/ 7) WHAT IS THE ISSUE?: Incorrect data"/>
    <x v="0"/>
    <s v="Medium"/>
    <s v="Medium"/>
    <d v="2026-07-16T01:58:00"/>
    <s v="PL_TOOLS &gt; AIOPS"/>
    <x v="0"/>
    <d v="2026-07-16T18:40:00"/>
    <x v="4"/>
    <m/>
    <m/>
  </r>
  <r>
    <n v="11242756"/>
    <s v="Coe Onboarding : Staging gdp authentication Fix"/>
    <s v="EMEA &gt; PROD &gt; KDL &gt; PL_TOOLS"/>
    <x v="0"/>
    <x v="2"/>
    <s v="Syeda Raffathunnisa"/>
    <x v="11"/>
    <s v="Medium"/>
    <m/>
    <s v="PLATFORM TOOLS - BASIC DETAILS 1) SHORT DESCRIPTION: Coe Onboarding : Staging gdp authentication Fix 2) DESCRIPTION OF REQUEST: Coe-onboarding staging gdp pipeline is failing because of authentication issue (401) , seems credential stored in the vault got expired for user - task_load_aiops. Please update the credential. gdp_extelastic_url: VAULT:/dx-platform-delivery/${ENVIRONMENT}/iaiops-gdp/${REGION}/elastic/elastic.url gdp_ext_esadmin_ipaddress: VAULT:/dx-platform-delivery/${ENVIRONMENT}/iaiops-gdp/${REGION}/elastic/gdpextelastic_ipaddress gdp_ext_esHostUrl: VAULT:/dx-platform-delivery/${ENVIRONMENT}/iaiops-gdp/${REGION}/elastic/gdpextelastic_HostUrl 3) CAPABILITY/TOOL: Integrated AIOps (AIOPS) 4) KYNDRYL BRIDGE CUSTOMER FOR AIOPS LOOKUP (IF KNOWN): ADAI Managed Apps - American Airlines CCS - AAOT - a21 (BAM0003598-US) es.was1 5) ORG MARKET: US Shared 6) ADDITIONAL DETAILS: 7) NOTIFY: PLATFORM TOOLS - INTEGRATED AIOPS (AIOPS) DETAILS 1) AIOPS LOCATION: Integrated AIOPs - NA 2) AIOPS INSTANCE: Americas 3) TYPE OF REQUEST: AIOPS - General Request"/>
    <x v="0"/>
    <s v="Medium"/>
    <s v="Medium"/>
    <d v="2026-07-16T15:29:00"/>
    <s v="PL_TOOLS &gt; AIOPS"/>
    <x v="1"/>
    <d v="2026-07-16T18:40:00"/>
    <x v="4"/>
    <m/>
    <m/>
  </r>
  <r>
    <n v="11243614"/>
    <s v="CCMM IAM Dashboard â€“ Shared ID Data Discrepancy (Hertz)"/>
    <s v="EMEA &gt; PROD &gt; KDL &gt; PL_TOOLS"/>
    <x v="0"/>
    <x v="2"/>
    <s v="Rupal Chauhan"/>
    <x v="12"/>
    <s v="Medium"/>
    <m/>
    <s v="PLATFORM TOOLS - BASIC DETAILS 1) CAPABILITY/TOOL: Integrated AIOps (AIOPS) 2) SHORT DESCRIPTION: CCMM IAM Dashboard â€“ Shared ID Data Discrepancy (Hertz) 3) DESCRIPTION OF ISSUE: Inconsistent data is being displayed for Shared IDs in the Hertz account CCMM IAM Dashboard and related widgets. The Shared ID counts/details shown in CCMM do not match the expected data. Please investigate the data synchronization, calculation, and dashboard reporting for the Shared ID section. Screenshots and supporting evidence are attached. 4) KYNDRYL BRIDGE CUSTOMER FOR AIOPS LOOKUP (IF KNOWN): Hertz - hrz, her (BAC0000FD5-US) es.was1 5) ORG MARKET: US Shared 6) WATCH LIST: 7) REPORTED PRIORITY: P3 - Medium (Sev3) 8) ADDITIONAL DETAILS: 9) ATTACHMENTS (EVIDENCE, SCREENSHOTS, LOGS,ETC): AIOps CCMM IAM issue screenshots and links.zip PLATFORM TOOLS - INTEGRATED AIOPS (AIOPS) DETAILS 1) AIOPS LOCATION: Integrated AIOPs - NA 2) AIOPS INSTANCE: Americas 3) AIOPS DATA PLANE: 4) WHERE ON THE WEB PAGE IS THE ISSUE LOCATED?: Home &gt; Header &gt; Insights &gt; Dashboards &gt; All Dashboards 5) WHAT SUBCATEGORY OF THE LOCATION IS THE ISSUE RELATED TO?: IAMaaS(UAT+DSS) Dashboard 6) URL OF THE WEB PAGE DISPLAYING THE ISSUE: https://www.kyndryl.com/bridge/console/ccmm#/overview 7) WHAT IS THE ISSUE?: Incorrect data"/>
    <x v="0"/>
    <s v="Medium"/>
    <s v="Medium"/>
    <d v="2026-07-16T17:08:00"/>
    <s v="PL_TOOLS &gt; AIOPS"/>
    <x v="0"/>
    <d v="2026-07-16T18:36:00"/>
    <x v="4"/>
    <m/>
    <m/>
  </r>
  <r>
    <n v="11241951"/>
    <s v="Global Internal Accounts Exemption Request (TIP Dashboard)"/>
    <s v="EMEA &gt; PROD &gt; KDL &gt; PL_TOOLS"/>
    <x v="0"/>
    <x v="2"/>
    <s v="Shreyani Ginna"/>
    <x v="13"/>
    <s v="Medium"/>
    <m/>
    <s v="Hi Please Exempt all the following accounts from TIP Dashboard (Approvals enclosed) ORG MARKET COUNTRY ACCOUNT NAME OU ID TENANT ID Global Internal Global Internal Global Internal - Test Mainframe Global Service Engineering 3f3a50caa536.1 BAC000382D-US Global Internal Global Internal Shared Private Cloud Hub (EADS) 2b5eab5649c4.1 BAC0000EBC-US Global Internal Global Internal SMI Canada 281bd56fe349.1 BAC0003003-CA Global Internal Global Internal Global Internal- Centricity Shared Belgium 588ccd37370e.1 BAC0003817-BE Global Internal Global Internal Global Internal - ADAI Managed Apps - Internal Test Account (SDM) 9d572f2f99ab.1 BAC000264B-US Global Internal Global Internal Global Internal - CIO - Network Services Platform and Tools ec162df26e84.1 BAC00038D9-US Global Internal Global Internal Global Internal - CIO - Kyndryl Network Services cdf660b0d7f4.1 BAC00039F0-US Global Internal Global Internal Global Internal - NL Kyndryl Bridge Demo Account d7a91a13500e.1 BAC7209010-NL Global Internal Global Internal Global Internal- Kyndryl Collaborative servers 9dd0075606f2.1 BAC030C010-IN Global Internal Global Internal Global Internal - US Kyndryl Bridge Demo Account 6c3b96e90250.1 BAC740B010-US Global Internal Global Internal Global Internal - ADAI Managed Apps - KYNDRYL CIO - Finance 8230263a452b.1 BAC9109010-US Global Internal Global Internal Global Internal - Japan Kyndryl Bridge Demo Account 9626543b7964.1 BAC00039DD-JP"/>
    <x v="0"/>
    <s v="Medium"/>
    <s v="Medium"/>
    <d v="2026-07-16T12:35:00"/>
    <s v="PL_TOOLS"/>
    <x v="0"/>
    <d v="2026-07-16T18:34:00"/>
    <x v="4"/>
    <m/>
    <m/>
  </r>
  <r>
    <n v="11242100"/>
    <s v="Request to Change Approver Permissions for ARMS (OU Type: org_market)"/>
    <s v="EMEA &gt; PROD &gt; KDL &gt; PL_TOOLS"/>
    <x v="2"/>
    <x v="3"/>
    <s v="SRINIVASA YALAMARTI"/>
    <x v="14"/>
    <s v="Medium"/>
    <m/>
    <s v="PLATFORM TOOLS - BASIC DETAILS 1) SHORT DESCRIPTION: Request to Change Approver Permissions for ARMS (OU Type: org_market) 2) DESCRIPTION OF REQUEST: *This request is not for a specific account. As Umemura-san is taking over the role previously held by Hayafune-san, we would like to change the approver for the following access group. Please change the approver. Target Access Group: OU Type: org_market, OUs: japan, Access Groups: bundle-security-and-vulnerability-management Current Approver: Yuki.Hayafune@kyndryl.com New Approver: Eisuke.Umemura@kyndryl.com Thank you for your assistance. 3) CAPABILITY/TOOL: Integrated AIOps (AIOPS) 4) KYNDRYL BRIDGE CUSTOMER FOR AIOPS LOOKUP (IF KNOWN): Kyndryl I-AIOps Japan - xx2 (BAC00039DD-JP) es.jpn1 5) ORG MARKET: Japan 6) ADDITIONAL DETAILS: *This request is not for a specific account. As Umemura-san is taking over the role previously held by Hayafune-san, we would like to change the approver for the following access group. I attached approval for this change. Please change the approver. -Target Access Group: OU Type: org_market, OUs: japan, Access Groups: bundle-security-and-vulnerability-management -Current Approver: Yuki.Hayafune@kyndryl.com -New Approver: Eisuke.Umemura@kyndryl.com 7) NOTIFY: FUKUDA TETSUYA, Lu Shiyuan, Yamaguchi Teppei 8) ATTACHMENTS (EVIDENCE, SCREENSHOTS, LOGS,ETC): Approval_bundle-security-and-vulnerability-management.pdf PLATFORM TOOLS - INTEGRATED AIOPS (AIOPS) DETAILS 1) AIOPS LOCATION: Integrated AIOPs - JP 2) AIOPS INSTANCE: Japan 3) TYPE OF REQUEST: AIOPS - ARMS"/>
    <x v="0"/>
    <s v="Medium"/>
    <s v="Medium"/>
    <d v="2026-07-16T13:12:00"/>
    <s v="PL_TOOLS &gt; AIOPS"/>
    <x v="1"/>
    <d v="2026-07-16T18:23:00"/>
    <x v="4"/>
    <m/>
    <m/>
  </r>
  <r>
    <n v="11236587"/>
    <s v="[Update Request] DPE Permission Update in ARMS"/>
    <s v="EMEA &gt; PROD &gt; KDL &gt; PL_TOOLS"/>
    <x v="2"/>
    <x v="3"/>
    <s v="SRINIVASA YALAMARTI"/>
    <x v="15"/>
    <s v="Medium"/>
    <m/>
    <s v="PLATFORM TOOLS - BASIC DETAILS 1) SHORT DESCRIPTION: [Update Request] DPE Permission Update in ARMS 2) DESCRIPTION OF REQUEST: Hi, Team. Although the DPE was changed last year, however, it appears that the ARMS permissions are still assigned to the previous DPE. Could you please update the DPE permissions in ARMS? OU NAME: Mitsubishi Motors Corporation - JP OU DESCRIPTION: 2d78c2ff2fae.1 CURRENT DPE: Nobuaki.Matsunami@kyndryl.com PREVIOUS DPE: yuji.koyama@kyndryl.com 3) CAPABILITY/TOOL: Integrated AIOps (AIOPS) 4) KYNDRYL BRIDGE CUSTOMER FOR AIOPS LOOKUP (IF KNOWN): Mitsubishi Motors Corporation - JP - mmo (BAC00005C9-JP) es.jpn1 5) ORG MARKET: Japan 6) ADDITIONAL DETAILS: 7) NOTIFY: PLATFORM TOOLS - INTEGRATED AIOPS (AIOPS) DETAILS 1) AIOPS LOCATION: Integrated AIOPs - ACME 2) TYPE OF REQUEST: AIOPS - ARMS"/>
    <x v="0"/>
    <s v="Medium"/>
    <s v="Medium"/>
    <d v="2026-07-15T06:54:00"/>
    <s v="PL_TOOLS &gt; AIOPS"/>
    <x v="1"/>
    <d v="2026-07-16T17:44:00"/>
    <x v="0"/>
    <m/>
    <m/>
  </r>
  <r>
    <n v="11243813"/>
    <s v="op3#fluentd#Cleared and Re-fired: P-260733003-Out-of-memory kills have been observed for pods of thi"/>
    <s v="EMEA &gt; PROD &gt; KDL &gt; PL_TOOLS"/>
    <x v="1"/>
    <x v="2"/>
    <m/>
    <x v="16"/>
    <s v="Medium"/>
    <m/>
    <s v="Business Service: Integrated AIOps (AIOPS) Capability Tool: Integrated AIOPs - Americas -------------------------------------------- FirstOccurrence: 2026-07-15 20:20:10 Summary: Cleared and Re-fired: P-260733003-Out-of-memory kills have been observed for pods of this workload. Severity: Major ResourceId: fluentd ServerSerial: 10505732 ServerName: NCO_PRI CustomerCode: op3 InstanceSituation: Out-of-memory kills URL: https://arg88263.live.dynatrace.com/#problems/problemdetails;pid=-448355262193532835_1784146620000V2 NodeAlias: {Tags[IP]} ComponentType: {Tags[OS]} OSType: AlertKey: Out-of-memory kills TicketGroup: K-PLTools-AIOPs-Americas-Delivery-Support"/>
    <x v="0"/>
    <s v="Medium"/>
    <s v="Medium"/>
    <d v="2026-07-16T17:37:00"/>
    <s v="Inquiry / Help"/>
    <x v="0"/>
    <d v="2026-07-16T17:37:00"/>
    <x v="4"/>
    <m/>
    <m/>
  </r>
  <r>
    <n v="11194267"/>
    <s v="Colpensiones: Offboarding | AIOPs"/>
    <s v="EMEA &gt; PROD &gt; KDL &gt; PL_TOOLS"/>
    <x v="2"/>
    <x v="2"/>
    <s v="Jagadeesh Ponnaganti"/>
    <x v="17"/>
    <s v="Medium"/>
    <m/>
    <s v="PLATFORM TOOLS - BASIC DETAILS 1) SHORT DESCRIPTION: Colpensiones: Offboarding | AIOPs 2) DESCRIPTION OF REQUEST: Contracts ends June 30 2026 3) CAPABILITY/TOOL: Integrated AIOps (AIOPS) 4) KYNDRYL BRIDGE CUSTOMER FOR AIOPS LOOKUP (IF KNOWN): Colpensiones - cpi (BAC0002D53-CO) es.was1 5) ORG MARKET: Strategic Markets 6) ADDITIONAL DETAILS: 7) NOTIFY: Lara Rojas Yolanda 8) ATTACHMENTS (EVIDENCE, SCREENSHOTS, LOGS,ETC): Offboarding Colpensiones.pdf PLATFORM TOOLS - INTEGRATED AIOPS (AIOPS) DETAILS 1) AIOPS LOCATION: Integrated AIOPs - NA 2) AIOPS INSTANCE: Americas 3) TYPE OF REQUEST: AIOPS - General Request"/>
    <x v="0"/>
    <s v="Medium"/>
    <s v="Medium"/>
    <d v="2026-07-03T01:39:00"/>
    <s v="PL_TOOLS &gt; AIOPS"/>
    <x v="1"/>
    <d v="2026-07-16T17:37:00"/>
    <x v="1"/>
    <m/>
    <m/>
  </r>
  <r>
    <n v="11179170"/>
    <s v="BI reporting - one account with the same ID on two lines, probably a typo"/>
    <s v="EMEA &gt; PROD &gt; KDL &gt; PL_TOOLS"/>
    <x v="0"/>
    <x v="0"/>
    <s v="Sneha ."/>
    <x v="18"/>
    <s v="Medium"/>
    <m/>
    <s v="PLATFORM TOOLS - BASIC DETAILS 1) CAPABILITY/TOOL: Integrated AIOps (AIOPS) 2) SHORT DESCRIPTION: BI reporting - one account with the same ID on two lines, probably a typo 3) DESCRIPTION OF ISSUE: Hello, In BI Report for ALPS accounts, Strategic markets EU, we can see one account with the same ID on two lines. BÃ¢loise BAC0002E74 - correct name BÃƒÂ¢loise BAC0002E74 - incorrect name (a typo) COULD YOU PLEASE REMOVE BÃƒÂ¢loise AND SYNC THE REPORT? BI REPORTING - SEE ATTACHED WORD DOC. Thank you 4) KYNDRYL BRIDGE CUSTOMER FOR AIOPS LOOKUP (IF KNOWN): BÃ¢loise - bao (BAC0002E74-CH) es.ams1 5) ORG MARKET: Strategic Markets 6) WATCH LIST: Csulak Ivett 7) REPORTED PRIORITY: P3 - Medium (Sev3) 8) ADDITIONAL DETAILS: 9) ATTACHMENTS (EVIDENCE, SCREENSHOTS, LOGS,ETC): Baloise in AIOPS and BI reporting.docx PLATFORM TOOLS - INTEGRATED AIOPS (AIOPS) DETAILS 1) AIOPS LOCATION: Integrated AIOPs - Global 2) AIOPS INSTANCE: Global 3) AIOPS DATA PLANE: 4) WHERE ON THE WEB PAGE IS THE ISSUE LOCATED?: Home &gt; Header &gt; Insights &gt; Dashboards 5) WHAT SUBCATEGORY OF THE LOCATION IS THE ISSUE RELATED TO?: Dashboard 6) URL OF THE WEB PAGE DISPLAYING THE ISSUE: 7) WHAT IS THE ISSUE?: Other"/>
    <x v="0"/>
    <s v="Medium"/>
    <s v="Medium"/>
    <d v="2026-06-29T17:47:00"/>
    <s v="PL_TOOLS &gt; AIOPS"/>
    <x v="0"/>
    <d v="2026-07-16T17:20:00"/>
    <x v="3"/>
    <m/>
    <m/>
  </r>
  <r>
    <n v="11243644"/>
    <s v="IBM i IZPCA Performance Summary Insights Configured but Not Visible in AIOps Dashboard"/>
    <s v="EMEA &gt; PROD &gt; KDL &gt; PL_TOOLS"/>
    <x v="1"/>
    <x v="1"/>
    <m/>
    <x v="19"/>
    <s v="Low"/>
    <m/>
    <s v="PLATFORM TOOLS - BASIC DETAILS 1) CAPABILITY/TOOL: Integrated AIOps (AIOPS) 2) SHORT DESCRIPTION: IBM i IZPCA Performance Summary Insights Configured but Not Visible in AIOps Dashboard 3) DESCRIPTION OF ISSUE: Dear Support Team, I hope you are doing well. I would like to request your assistance regarding an issue related to dashboard visibility in KYNDRYL BRIDGE AIOPS. For the account GCS - Core Ent &amp; zCloud - iSeries, Spain (GCSEISCIB-iSeries), we have enabled and configured the IBM I IZPCA PERFORMANCE SUMMARY INSIGHTS catalog item, as shown in the attached screenshots. In addition, performance data from our IBM i environment is already being successfully collected and sent to AIOps, which suggests that the data ingestion process is working correctly. However, we have noticed that the corresponding dashboard is not available under: AIOPS â†’ DASHBOARDS â†’ MAINFRAME MANAGEMENT Within this section, other dashboards are displayed, but the IBM I IZPCA PERFORMANCE SUMMARY INSIGHTS dashboard is not listed. As a result, we are unable to access and visualize the performance data that we need. Could you please investigate this issue and help us identify the root cause? Additionally, we would appreciate it if you could confirm whether any further configuration, activation step, permission assignment, or additional action is required on our side to make the dashboard and its associated data available. We have attached screenshots showing both the catalog configuration and the current dashboard view for reference. 4) KYNDRYL BRIDGE CUSTOMER FOR AIOPS LOOKUP (IF KNOWN): GTS Services Delivery Infrastructure &amp; Cost Pools - ES - ico (BAC00014D4-ES) es.ams1 5) ORG MARKET: Iberia 6) WATCH LIST: 7) REPORTED PRIORITY: P4 - Low (Sev4) 8) ADDITIONAL DETAILS: 9) ATTACHMENTS (EVIDENCE, SCREENSHOTS, LOGS,ETC): Dashboard Insights.png, IBM i IZPCA Performance Summary Insights.png PLATFORM TOOLS - INTEGRATED AIOPS (AIOPS) DETAILS 1) AIOPS LOCATION: Integrated AIOPs - EU 2) AIOPS INSTANCE: Europe 3) AIOPS DATA PLANE: Insights Dashboard 4) WHERE ON THE WEB PAGE IS THE ISSUE LOCATED?: Home &gt; Header &gt; Insights &gt; Dashboards 5) WHAT SUBCATEGORY OF THE LOCATION IS THE ISSUE RELATED TO?: SMG Availability Management 6) URL OF THE WEB PAGE DISPLAYING THE ISSUE: https://www.kyndryl.com/bridge/aiops/insights/ 7) WHAT IS THE ISSUE?: Missing data"/>
    <x v="2"/>
    <s v="Low"/>
    <s v="Low"/>
    <d v="2026-07-16T17:14:00"/>
    <s v="PL_TOOLS &gt; AIOPS"/>
    <x v="0"/>
    <d v="2026-07-16T17:14:00"/>
    <x v="4"/>
    <m/>
    <m/>
  </r>
  <r>
    <n v="11243512"/>
    <s v="Change approver name in ARMS"/>
    <s v="EMEA &gt; PROD &gt; KDL &gt; PL_TOOLS"/>
    <x v="0"/>
    <x v="4"/>
    <s v="Hanmaji Namuthabad"/>
    <x v="20"/>
    <s v="Medium"/>
    <m/>
    <s v="PLATFORM TOOLS - BASIC DETAILS 1) SHORT DESCRIPTION: Change approver name in ARMS 2) DESCRIPTION OF REQUEST: I am the new DPE for JSW steel Ltd account, require approver name change. 3) CAPABILITY/TOOL: Integrated AIOps (AIOPS) 4) KYNDRYL BRIDGE CUSTOMER FOR AIOPS LOOKUP (IF KNOWN): JSW Steel LTD - jsw (BAC00033DE-IN) es.che1 5) ORG MARKET: India 6) ADDITIONAL DETAILS: 7) NOTIFY: PLATFORM TOOLS - INTEGRATED AIOPS (AIOPS) DETAILS 1) AIOPS LOCATION: Integrated AIOPs - IN 2) AIOPS INSTANCE: India 3) TYPE OF REQUEST: AIOPS - ARMS"/>
    <x v="0"/>
    <s v="Medium"/>
    <s v="Medium"/>
    <d v="2026-07-16T16:46:00"/>
    <s v="PL_TOOLS &gt; AIOPS"/>
    <x v="1"/>
    <d v="2026-07-16T17:00:00"/>
    <x v="4"/>
    <m/>
    <m/>
  </r>
  <r>
    <n v="11230051"/>
    <s v="Please update account DPE name"/>
    <s v="EMEA &gt; PROD &gt; KDL &gt; PL_TOOLS"/>
    <x v="0"/>
    <x v="1"/>
    <s v="GÃ¡bor Szabolcs NÃ©meth"/>
    <x v="21"/>
    <s v="Medium"/>
    <m/>
    <s v="PLATFORM TOOLS - BASIC DETAILS 1) SHORT DESCRIPTION: Please update account DPE name 2) DESCRIPTION OF REQUEST: Hi team, Can you please update account DPE for Mota Engil account for eduardo.azevedo@kyndryl.com , as previous DPE left Kyndryl. Tx 3) CAPABILITY/TOOL: Integrated AIOps (AIOPS) 4) KYNDRYL BRIDGE CUSTOMER FOR AIOPS LOOKUP (IF KNOWN): mo3 - Mota Engil (BAC100A010-PT) 5) ORG MARKET: Iberia 6) ADDITIONAL DETAILS: 7) NOTIFY: Sinceridades Carlos PLATFORM TOOLS - INTEGRATED AIOPS (AIOPS) DETAILS 1) AIOPS LOCATION: Integrated AIOPs - EU 2) AIOPS INSTANCE: Europe 3) TYPE OF REQUEST: AIOPS - ARMS"/>
    <x v="0"/>
    <s v="Medium"/>
    <s v="Medium"/>
    <d v="2026-07-13T16:34:00"/>
    <s v="PL_TOOLS &gt; AIOPS"/>
    <x v="1"/>
    <d v="2026-07-16T16:58:00"/>
    <x v="5"/>
    <m/>
    <m/>
  </r>
  <r>
    <n v="11161431"/>
    <s v="Against the given list of CDP Stored procedures please remove extensions used in AIOPS."/>
    <s v="EMEA &gt; PROD &gt; KDL &gt; PL_TOOLS"/>
    <x v="0"/>
    <x v="1"/>
    <s v="GÃ¡bor Szabolcs NÃ©meth"/>
    <x v="22"/>
    <s v="Medium"/>
    <m/>
    <s v="PLATFORM TOOLS - BASIC DETAILS 1) SHORT DESCRIPTION: Against the given list of CDP Stored procedures please remove extensions used in AIOPS. 2) DESCRIPTION OF REQUEST: Hi team, Against the given list of CDP Stored procedures please remove extensions used in AIOPS. We have disabled CDP IDs from our end. so you can look for Extensions failing running under the above credentials CDP_US2EU you can also take reference that anything running that has CS_CDP_US2xx can be removed. EXTENTION SUFFIX : bai-grf-cdp will be like this. These extensions are used for CDP in KRI dashboards. For any information please contact : poonam.bansal@kyndryl.com. 3) CAPABILITY/TOOL: Integration Services (ISG) 4) ACCOUNT LOOKUP (IF KNOWN): *Not a customer account / not found 5) GSMA CODE: 6) NAME: 7) BAC / BAM ID: 8) COUNTRY: 9) ORG MARKET: Italy 10) ADDITIONAL DETAILS: 11) NOTIFY: 12) ATTACHMENTS (EVIDENCE, SCREENSHOTS, LOGS,ETC): KRI EU CDP list (1).xlsx PLATFORM TOOLS - INTEGRATION SERVICES (ISG) DETAILS 1) LOCATION OF CAPABILITY/TOOL INSTANCE: IS/Ext - EU 2) TYPE OF REQUEST: General Request"/>
    <x v="0"/>
    <s v="Medium"/>
    <s v="Medium"/>
    <d v="2026-06-24T14:43:00"/>
    <s v="PL_TOOLS &gt; ISG"/>
    <x v="1"/>
    <d v="2026-07-16T16:55:00"/>
    <x v="3"/>
    <m/>
    <m/>
  </r>
  <r>
    <n v="11229102"/>
    <s v="Total Automation performance (KPI) is not matching with IS."/>
    <s v="EMEA &gt; PROD &gt; KDL &gt; PL_TOOLS"/>
    <x v="0"/>
    <x v="1"/>
    <s v="JiÅ™Ã­ KuÅ¾ela"/>
    <x v="23"/>
    <s v="Medium"/>
    <m/>
    <s v="PLATFORM TOOLS - BASIC DETAILS 1) CAPABILITY/TOOL: Integrated AIOps (AIOPS) 2) SHORT DESCRIPTION: Total Automation performance (KPI) is not matching with IS. 3) DESCRIPTION OF ISSUE: As showing in KPI report :- IS Total Host -211 CACF Host Total -150 Approved CACF exception (21) + Technical Exception Host count (17) + Not Contracted (4) + Denied (54) + other (2) = 98 ( CACF) 150 + 98 (All Exceptions) = 248 However total count should be 211. 4) KYNDRYL BRIDGE CUSTOMER FOR AIOPS LOOKUP (IF KNOWN): Securitas - scu (BAC00009FF-BE) es.ams1 5) ORG MARKET: Strategic Markets 6) WATCH LIST: 7) REPORTED PRIORITY: P3 - Medium (Sev3) 8) ADDITIONAL DETAILS: PLATFORM TOOLS - INTEGRATED AIOPS (AIOPS) DETAILS 1) AIOPS LOCATION: Integrated AIOPs - EU 2) AIOPS INSTANCE: Europe 3) AIOPS DATA PLANE: 4) WHERE ON THE WEB PAGE IS THE ISSUE LOCATED?: Home &gt; Header &gt; Automation &gt; Actions 5) WHAT SUBCATEGORY OF THE LOCATION IS THE ISSUE RELATED TO?: Automation 6) URL OF THE WEB PAGE DISPLAYING THE ISSUE: https://www.kyndryl.com/bridge/aiops/insights/dashboard/es.ams1.0f643dac-e48b-4151-88d5-3b1a64dd0ba8?_a=(filters:!((query:(match_phrase:(tenant_id:%27BAC00009FF-BE%27)))))&amp;bootstrap=false&amp;a=delivery&amp;ou=crn:v1:dx:local:iam:global:delivery:public:domain:e54234d30e9d.1 7) WHAT IS THE ISSUE?: Incorrect data"/>
    <x v="0"/>
    <s v="Medium"/>
    <s v="Medium"/>
    <d v="2026-07-13T12:46:00"/>
    <s v="PL_TOOLS &gt; AIOPS"/>
    <x v="0"/>
    <d v="2026-07-16T16:38:00"/>
    <x v="5"/>
    <m/>
    <m/>
  </r>
  <r>
    <n v="11241832"/>
    <s v="WBA|| After renewing certificate still showing old report on AIOSP"/>
    <s v="EMEA &gt; PROD &gt; KDL &gt; PL_TOOLS"/>
    <x v="0"/>
    <x v="1"/>
    <s v="RadomÃ­r Kuna"/>
    <x v="24"/>
    <s v="Medium"/>
    <m/>
    <s v="PLATFORM TOOLS - BASIC DETAILS 1) CAPABILITY/TOOL: Integrated AIOps (AIOPS) 2) SHORT DESCRIPTION: WBA|| After renewing certificate still showing old report on AIOSP 3) DESCRIPTION OF ISSUE: WBA|| After renewing certificate still showing old report on AIOSP [root@botbANJmp02 ~]# echo | openssl s_client -connect localhost:8081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8082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5000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4) KYNDRYL BRIDGE CUSTOMER FOR AIOPS LOOKUP (IF KNOWN): Boots Group - wba (BAM0002E70-GB) es.ams1 5) ORG MARKET: UKI 6) WATCH LIST: 7) REPORTED PRIORITY: P3 - Medium (Sev3) 8) ADDITIONAL DETAILS: WBA|| After renewing certificate still showing old report on AIOSP [root@botbANJmp02 ~]# echo | openssl s_client -connect localhost:8081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8082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root@botbANJmp02 ~]# echo | openssl s_client -connect localhost:5000 -servername localhost 2&gt;/dev/null | openssl x509 -noout -issuer -subject -dates issuer=C = US, ST = NewYork, L = Newark, O = Kyndryl, CN = bdsfs-child-api.kyndryl.com subject=C = US, ST = NewYork, L = Newark, O = Kyndryl, CN = bdsfs-child-api.kyndryl.com notBefore=Jul 14 09:06:26 2026 GMT notAfter=Jul 14 09:06:26 2027 GMT 9) ATTACHMENTS (EVIDENCE, SCREENSHOTS, LOGS,ETC): Haproxy_cert_renew.png PLATFORM TOOLS - INTEGRATED AIOPS (AIOPS) DETAILS 1) AIOPS LOCATION: Integrated AIOPs - EU 2) AIOPS INSTANCE: Europe 3) AIOPS DATA PLANE: 4) WHERE ON THE WEB PAGE IS THE ISSUE LOCATED?: Home &gt; Header &gt; Insights &gt; Dashboards 5) WHAT SUBCATEGORY OF THE LOCATION IS THE ISSUE RELATED TO?: Data Flow 6) URL OF THE WEB PAGE DISPLAYING THE ISSUE: 7) WHAT IS THE ISSUE?: Incorrect data"/>
    <x v="0"/>
    <s v="Medium"/>
    <s v="Medium"/>
    <d v="2026-07-16T11:56:00"/>
    <s v="PL_TOOLS &gt; AIOPS"/>
    <x v="0"/>
    <d v="2026-07-16T16:34:00"/>
    <x v="4"/>
    <m/>
    <m/>
  </r>
  <r>
    <n v="11234526"/>
    <s v="Lack of visibility to global data plane dashboards for KRI data"/>
    <s v="EMEA &gt; PROD &gt; KDL &gt; PL_TOOLS"/>
    <x v="2"/>
    <x v="0"/>
    <s v="Sneha S"/>
    <x v="25"/>
    <s v="Medium"/>
    <m/>
    <s v="PLATFORM TOOLS - BASIC DETAILS 1) CAPABILITY/TOOL: Integrated AIOps (AIOPS) 2) SHORT DESCRIPTION: Lack of visibility to global data plane dashboards for KRI data 3) DESCRIPTION OF ISSUE: Net new dashboard created for global data plan views (including views at POD, Country, etc based on access level) for metrics and KPIs from KRI data (AHA IN-I-3966) across all six KRI data planes. Updates were promoted to production 28th of May (and prior) - yet views are not yet visible. Views confirmed visible in staging From my perspective, I can see nothing - though while looking to emulate dev access - I had requested access to a few pods (all approved) but also to Global - though access to &quot;bundle-backup-and-resiliency&quot; OU option is World Wide not Global as in Eva's view in staging as Global was not an OU option.. NOTE: The World Wide access request has been pending since 3rd of June - not sure request went anywhere for approval and I have no idea for whom to contact as a chaser. 4) KYNDRYL BRIDGE CUSTOMER FOR AIOPS LOOKUP (IF KNOWN): Backup as a Service, Optimized - bks (BAC0002B25-US) es.was1 5) ORG MARKET: US Shared 6) WATCH LIST: JuÅ™enovÃ¡ Eva, Mayandi Thirumurugan, MOHD NOORUDDIN 7) REPORTED PRIORITY: P2 - High (Sev2) 8) ADDITIONAL DETAILS: Scope is not limited to account/org market - selected only a means to complete ticket submission PLATFORM TOOLS - INTEGRATED AIOPS (AIOPS) DETAILS 1) AIOPS LOCATION: Integrated AIOPs - Global 2) AIOPS INSTANCE: Global 3) AIOPS DATA PLANE: 4) WHERE ON THE WEB PAGE IS THE ISSUE LOCATED?: Home &gt; Header &gt; Insights &gt; Dashboards &gt; All Dashboards 5) WHAT SUBCATEGORY OF THE LOCATION IS THE ISSUE RELATED TO?: KRI 6) URL OF THE WEB PAGE DISPLAYING THE ISSUE: 7) WHAT IS THE ISSUE?: Other"/>
    <x v="0"/>
    <s v="High"/>
    <s v="Medium"/>
    <d v="2026-07-14T18:02:00"/>
    <s v="PL_TOOLS &gt; AIOPS"/>
    <x v="0"/>
    <d v="2026-07-16T16:15:00"/>
    <x v="0"/>
    <m/>
    <m/>
  </r>
  <r>
    <n v="11135918"/>
    <s v="PL_Tools Incident - Integrated AIOps (AIOPS)"/>
    <s v="EMEA &gt; PROD &gt; KDL &gt; PL_TOOLS"/>
    <x v="2"/>
    <x v="1"/>
    <s v="Kinga Kirner"/>
    <x v="26"/>
    <s v="Low"/>
    <m/>
    <s v="PLATFORM TOOLS - BASIC DETAILS 1) CAPABILITY/TOOL: Integrated AIOps (AIOPS) 2) SHORT DESCRIPTION: Mainframe Asset Optimization (TADZ data) any data 3) DESCRIPTION OF ISSUE: Hi team, Few days ago we noticed that there are no data available on dashboard: MAINFRAME ASSET OPTIMIZATION (TADZ DATA) 4) KYNDRYL BRIDGE CUSTOMER FOR AIOPS LOOKUP (IF KNOWN): El Corte Ingles - eci (BAC0002A4B-ES) es.ams1 5) ORG MARKET: Iberia 6) WATCH LIST: 7) REPORTED PRIORITY: P4 - Low (Sev4) 8) ADDITIONAL DETAILS: 9) ATTACHMENTS (EVIDENCE, SCREENSHOTS, LOGS,ETC): Screenshot 2026-06-17 at 11.06.31.png PLATFORM TOOLS - INTEGRATED AIOPS (AIOPS) DETAILS 1) AIOPS LOCATION: Integrated AIOPs - EU 2) AIOPS INSTANCE: Europe 3) AIOPS DATA PLANE: 4) WHERE ON THE WEB PAGE IS THE ISSUE LOCATED?: Home &gt; Header &gt; Insights &gt; Dashboards 5) WHAT SUBCATEGORY OF THE LOCATION IS THE ISSUE RELATED TO?: Mainframe Asset Optimization 6) URL OF THE WEB PAGE DISPLAYING THE ISSUE: 7) WHAT IS THE ISSUE?: Missing data"/>
    <x v="2"/>
    <s v="Low"/>
    <s v="Low"/>
    <d v="2026-06-17T14:37:00"/>
    <s v="PL_TOOLS &gt; AIOPS"/>
    <x v="0"/>
    <d v="2026-07-16T16:14:00"/>
    <x v="3"/>
    <m/>
    <m/>
  </r>
  <r>
    <n v="11214126"/>
    <s v="BPS coverage score issue"/>
    <s v="EMEA &gt; PROD &gt; KDL &gt; PL_TOOLS"/>
    <x v="0"/>
    <x v="1"/>
    <s v="JiÅ™Ã­ KuÅ¾ela"/>
    <x v="27"/>
    <s v="Medium"/>
    <m/>
    <s v="PLATFORM TOOLS - BASIC DETAILS 1) CAPABILITY/TOOL: Integrated AIOps (AIOPS) 2) SHORT DESCRIPTION: BPS coverage score issue 3) DESCRIPTION OF ISSUE: The Best practice score for the account is dropped from 85% to 55% along with the coverage. Could you please help us to check the issue on this. We also found that there was data sync issue during the migration from BPS to UDC flag updates. 4) KYNDRYL BRIDGE CUSTOMER FOR AIOPS LOOKUP (IF KNOWN): Thames Water - thw, tha (BAC000289B-GB) es.ams1 5) ORG MARKET: UKI 6) WATCH LIST: Kumbar Basavanni, Singh Chandan 7) REPORTED PRIORITY: P3 - Medium (Sev3) 8) ADDITIONAL DETAILS: PLATFORM TOOLS - INTEGRATED AIOPS (AIOPS) DETAILS 1) AIOPS LOCATION: Integrated AIOPs - EU 2) AIOPS INSTANCE: Europe 3) AIOPS DATA PLANE: 4) WHERE ON THE WEB PAGE IS THE ISSUE LOCATED?: Home &gt; Header &gt; Home 5) WHAT SUBCATEGORY OF THE LOCATION IS THE ISSUE RELATED TO?: Best practice 6) URL OF THE WEB PAGE DISPLAYING THE ISSUE: 7) WHAT IS THE ISSUE?: Component failure"/>
    <x v="0"/>
    <s v="Medium"/>
    <s v="Medium"/>
    <d v="2026-07-08T16:27:00"/>
    <s v="PL_TOOLS &gt; AIOPS"/>
    <x v="0"/>
    <d v="2026-07-16T16:13:00"/>
    <x v="2"/>
    <m/>
    <m/>
  </r>
  <r>
    <n v="11234891"/>
    <s v="Delay in data refresh for Incident Data coming to Incident Insight dashboard"/>
    <s v="EMEA &gt; PROD &gt; KDL &gt; PL_TOOLS"/>
    <x v="2"/>
    <x v="2"/>
    <s v="Sneha S"/>
    <x v="28"/>
    <s v="Medium"/>
    <m/>
    <s v="PLATFORM TOOLS - BASIC DETAILS 1) CAPABILITY/TOOL: Integrated AIOps (AIOPS) 2) SHORT DESCRIPTION: Delay in data refresh for Incident Data coming to Incident Insight dashboard 3) DESCRIPTION OF ISSUE: We are experiencing significant delays in receiving incident notifications from ServiceNow (SNOW) in AIOps, which is impacting the effectiveness of the Debug and Remediation Agent. Our ChatOps integration with SNOW sends a Teams notification whenever a high-priority incident (HPI) is created. Upon receiving the notification, the Debug Agent attempts to locate the incident in the Bridge AIOps Incident Dashboard. However, the agent consistently fails because the incident is not yet available in AIOps, even after more than 10 retrieval attempts at 2-minute intervals. As a result, the agent terminates without performing any diagnostics or remediation. We have verified the Incident Extension configuration, and the refresh interval is set to 60 seconds. Despite this, newly created HPIs are not appearing in AIOps within the expected timeframe. We would appreciate your assistance in investigating the cause of this delay between SNOW incident creation and its availability in AIOps. This latency is directly affecting the Debug and Remediation Agent's ability to operate effectively. 4) KYNDRYL BRIDGE CUSTOMER FOR AIOPS LOOKUP (IF KNOWN): Elevance Health - wlp (BAC0000BF2) es.was1 5) ORG MARKET: USA 6) WATCH LIST: Liesenfelt Tory 7) REPORTED PRIORITY: P3 - Medium (Sev3) 8) ADDITIONAL DETAILS: 9) ATTACHMENTS (EVIDENCE, SCREENSHOTS, LOGS,ETC): delay in AIOPs data refresh.docx PLATFORM TOOLS - INTEGRATED AIOPS (AIOPS) DETAILS 1) AIOPS LOCATION: Integrated AIOPs - NA 2) AIOPS INSTANCE: US Restricted 3) AIOPS DATA PLANE: 4) WHERE ON THE WEB PAGE IS THE ISSUE LOCATED?: Home &gt; Header &gt; Insights &gt; Dashboards 5) WHAT SUBCATEGORY OF THE LOCATION IS THE ISSUE RELATED TO?: Extensions 6) URL OF THE WEB PAGE DISPLAYING THE ISSUE: https://www.kyndryl.com/bridge/aiops/home/incidentDashboard 7) WHAT IS THE ISSUE?: Other"/>
    <x v="0"/>
    <s v="Medium"/>
    <s v="Medium"/>
    <d v="2026-07-14T19:36:00"/>
    <s v="PL_TOOLS &gt; AIOPS"/>
    <x v="0"/>
    <d v="2026-07-16T16:09:00"/>
    <x v="0"/>
    <m/>
    <m/>
  </r>
  <r>
    <n v="11197775"/>
    <s v="The Aiops usage report is not matching my aiops login and access"/>
    <s v="EMEA &gt; PROD &gt; KDL &gt; PL_TOOLS"/>
    <x v="2"/>
    <x v="0"/>
    <s v="Sneha S"/>
    <x v="29"/>
    <s v="Medium"/>
    <m/>
    <s v="The Aiops usage report is not matching my aiops login and access As per report the last access is showing 3rd Jun but i accessed aiops dashboard on this week aslo.Please investigate ."/>
    <x v="2"/>
    <s v="Low"/>
    <s v="Low"/>
    <d v="2026-07-03T19:59:00"/>
    <s v="PL_TOOLS"/>
    <x v="0"/>
    <d v="2026-07-16T16:07:00"/>
    <x v="1"/>
    <m/>
    <m/>
  </r>
  <r>
    <n v="11242929"/>
    <s v="TataSteel:- Items could not be moved to &quot;Tickets Out Of Scope&quot; in the Resolver Group configuration"/>
    <s v="EMEA &gt; PROD &gt; KDL &gt; PL_TOOLS"/>
    <x v="0"/>
    <x v="4"/>
    <s v="Trupti Uday Devadiga"/>
    <x v="30"/>
    <s v="Medium"/>
    <m/>
    <s v="PLATFORM TOOLS - BASIC DETAILS 1) CAPABILITY/TOOL: Integrated AIOps (AIOPS) 2) SHORT DESCRIPTION: TataSteel:- Items could not be moved to &quot;Tickets Out Of Scope&quot; in the Resolver Group configuration 3) DESCRIPTION OF ISSUE: ISSUE: THE FOLLOWING ITEMS COULD NOT BE MOVED TO &quot;TICKETS OUT OF SCOPE&quot; IN THE RESOLVER GROUP CONFIGURATION * LD #1 Level 1 * LD#2 Caster Level 1 * HSM CP#4 Level 1 NBM Mill &amp; Furnace #2 Level 1ta 4) KYNDRYL BRIDGE CUSTOMER FOR AIOPS LOOKUP (IF KNOWN): Tata Steel - t2a (BAC0002AC8-IN) es.che1 5) ORG MARKET: India 6) WATCH LIST: K DEEPA, Danish Shakeel 7) REPORTED PRIORITY: P3 - Medium (Sev3) 8) ADDITIONAL DETAILS: PLATFORM TOOLS - INTEGRATED AIOPS (AIOPS) DETAILS 1) AIOPS LOCATION: Integrated AIOPs - IN 2) AIOPS INSTANCE: India 3) AIOPS DATA PLANE: 4) WHERE ON THE WEB PAGE IS THE ISSUE LOCATED?: Home &gt; Side bar 5) WHAT SUBCATEGORY OF THE LOCATION IS THE ISSUE RELATED TO?: home &gt; side_bar &gt; Admin &gt; Resolver Group 6) URL OF THE WEB PAGE DISPLAYING THE ISSUE: https://www.kyndryl.com/bridge/aiops/home/resolver-group 7) WHAT IS THE ISSUE?: Component failure"/>
    <x v="0"/>
    <s v="Medium"/>
    <s v="Medium"/>
    <d v="2026-07-16T15:46:00"/>
    <s v="PL_TOOLS &gt; AIOPS"/>
    <x v="0"/>
    <d v="2026-07-16T16:00:00"/>
    <x v="4"/>
    <m/>
    <m/>
  </r>
  <r>
    <n v="11223030"/>
    <s v="inventory process closing in Venezuela"/>
    <s v="EMEA &gt; PROD &gt; KDL &gt; PL_TOOLS"/>
    <x v="2"/>
    <x v="2"/>
    <s v="Jagadeesh Ponnaganti"/>
    <x v="31"/>
    <s v="Medium"/>
    <m/>
    <s v="PLATFORM TOOLS - BASIC DETAILS 1) CAPABILITY/TOOL: Inventory Service (IS) 2) SHORT DESCRIPTION: inventory process closing in Venezuela 3) DESCRIPTION OF ISSUE: Currently, inventory support is no longer provided in Venezuela, as there are no active accounts and Kyndryl Venezuela has been closed. Please verify whether there are any devices with PRODUCTION status and change their status to DECOMMISSIONED. 4) CUSTOMER IMPACTED?: Yes 5) CUSTOMER BLUEID LOOKUP (IF KNOWN): snv - GSNI Venezuela - Venezuela - null 6) WATCH LIST: Yanez Barcia Wilson 7) REPORTED PRIORITY: P1 - Critical (Sev1) 8) ADDITIONAL DETAILS: 9) ATTACHMENTS (EVIDENCE, SCREENSHOTS, LOGS,ETC): VE asset balance report as of 260331 area01.XLSX, e-mail.pdf PLATFORM TOOLS - INVENTORY SERVICE (IS) DETAILS 1) LOCATION OF CAPABILITY/TOOL INSTANCE: US_Sharedâ€‹ 2) ISSUE CATEGORY: Server"/>
    <x v="0"/>
    <s v="Very High"/>
    <s v="Medium"/>
    <d v="2026-07-10T20:41:00"/>
    <s v="PL_TOOLS &gt; IS"/>
    <x v="0"/>
    <d v="2026-07-16T15:50:00"/>
    <x v="2"/>
    <m/>
    <m/>
  </r>
  <r>
    <n v="11240456"/>
    <s v="Servers in client MINSUR appears in Vulnerability Management Insights with pending CVEs in AIOPS, but shows a status of &quot;Decommissioned&quot; in Inventory Services."/>
    <s v="EMEA &gt; PROD &gt; KDL &gt; PL_TOOLS"/>
    <x v="0"/>
    <x v="1"/>
    <s v="RadomÃ­r Kuna"/>
    <x v="32"/>
    <s v="Medium"/>
    <m/>
    <s v="PLATFORM TOOLS - BASIC DETAILS 1) CAPABILITY/TOOL: Integrated AIOps (AIOPS) 2) SHORT DESCRIPTION: Servers in client MINSUR appears in Vulnerability Management Insights with pending CVEs in AIOPS, but shows a status of &quot;Decommissioned&quot; in Inventory Services. 3) DESCRIPTION OF ISSUE: Servers in client MINSUR appears in Vulnerability Management Insights with pending CVEs in AIOPS, but shows a status of &quot;Decommissioned&quot; in Inventory Services. The servers are as follows: svpucbd2pers0 svdcxcatd0 svpucwencoapli2 svpucwencosql2 svdcxpr2 svpucwencoapli1 svpucwencosql1 4) KYNDRYL BRIDGE CUSTOMER FOR AIOPS LOOKUP (IF KNOWN): Minsur - m1n (BAC000387D-PE) es.was1 5) ORG MARKET: Strategic Markets 6) WATCH LIST: 7) REPORTED PRIORITY: P3 - Medium (Sev3) 8) ADDITIONAL DETAILS: The number of outstanding old vulnerabilities for these servers is as follows: AIOPS Row Labels SiT91+ svpucbd2pers0 1874 svdcxcatd0 1677 svpucwencoapli2 1674 svpucwencosql2 1674 svdcxpr2 279 svpucwencoapli1 273 svpucwencosql1 273 9) ATTACHMENTS (EVIDENCE, SCREENSHOTS, LOGS,ETC): svpucbd2pers0-DECOMMISSION.jpg, svdcxcatd0-DECOMMISSION.jpg PLATFORM TOOLS - INTEGRATED AIOPS (AIOPS) DETAILS 1) AIOPS LOCATION: Integrated AIOPs - EU 2) AIOPS INSTANCE: Europe 3) AIOPS DATA PLANE: https://www.kyndryl.com/bridge/aiops/insights/dashboard/4c331883-6d59-4054-99bc-5f4e440a9a5e/ 4) WHERE ON THE WEB PAGE IS THE ISSUE LOCATED?: Home &gt; Header &gt; Insights &gt; Dashboards 5) WHAT SUBCATEGORY OF THE LOCATION IS THE ISSUE RELATED TO?: Delivery Platform: AIOps &amp; Insights Usage 6) URL OF THE WEB PAGE DISPLAYING THE ISSUE: https://www.kyndryl.com/bridge/aiops/insights/dashboard/4c331883-6d59-4054-99bc-5f4e440a9a5e/ 7) WHAT IS THE ISSUE?: Incorrect data"/>
    <x v="0"/>
    <s v="Medium"/>
    <s v="Medium"/>
    <d v="2026-07-16T00:57:00"/>
    <s v="PL_TOOLS &gt; AIOPS"/>
    <x v="0"/>
    <d v="2026-07-16T15:30:00"/>
    <x v="4"/>
    <m/>
    <m/>
  </r>
  <r>
    <n v="11187532"/>
    <s v="4 devices are not able to download BDSFS, even the port 8081 is allowed"/>
    <s v="EMEA &gt; PROD &gt; KDL &gt; PL_TOOLS"/>
    <x v="2"/>
    <x v="1"/>
    <s v="RadomÃ­r Kuna"/>
    <x v="33"/>
    <s v="Medium"/>
    <m/>
    <s v="PLATFORM TOOLS - BASIC DETAILS 1) CAPABILITY/TOOL: Integrated AIOps (AIOPS) 2) SHORT DESCRIPTION: 4 devices are not able to download BDSFS, even the port 8081 is allowed 3) DESCRIPTION OF ISSUE: 4 devices are not able to download BDSFS, even the port 8081 is allowed. Please find the device name huewma0pcc.tlnaa.migros.ch: 10.18.141.126 - 172.29.191.79 huewma0pcj.tlnaa.migros.ch: 10.18.141.106 - 172.29.191.67 huewma1pcc.tlnaa.migros.ch: 10.18.141.127 - 172.29.191.80 huewma1pcj.tlnaa.migros.ch: : 10.18.141.107 - 172.29.191.68 4) KYNDRYL BRIDGE CUSTOMER FOR AIOPS LOOKUP (IF KNOWN): Migros Aare GMAA - mgr (BAM00037BC-CH) es.ams1 5) ORG MARKET: Strategic Markets 6) WATCH LIST: 7) REPORTED PRIORITY: P2 - High (Sev2) 8) ADDITIONAL DETAILS: 4 devices are not able to download BDSFS, even the port 8081 is allowed. Please find the device name huewma0pcc.tlnaa.migros.ch: 10.18.141.126 - 172.29.191.79 huewma0pcj.tlnaa.migros.ch: 10.18.141.106 - 172.29.191.67 huewma1pcc.tlnaa.migros.ch: 10.18.141.127 - 172.29.191.80 huewma1pcj.tlnaa.migros.ch: : 10.18.141.107 - 172.29.191.68 9) ATTACHMENTS (EVIDENCE, SCREENSHOTS, LOGS,ETC): Total inventory performance.jpg PLATFORM TOOLS - INTEGRATED AIOPS (AIOPS) DETAILS 1) AIOPS LOCATION: Integrated AIOPs - EU 2) AIOPS INSTANCE: Europe 3) AIOPS DATA PLANE: 4) WHERE ON THE WEB PAGE IS THE ISSUE LOCATED?: Home &gt; IT Health Indicators 5) WHAT SUBCATEGORY OF THE LOCATION IS THE ISSUE RELATED TO?: Inventory 6) URL OF THE WEB PAGE DISPLAYING THE ISSUE: https://www.kyndryl.com/bridge/aiops/home/ 7) WHAT IS THE ISSUE?: Incorrect data"/>
    <x v="0"/>
    <s v="High"/>
    <s v="Medium"/>
    <d v="2026-07-01T14:55:00"/>
    <s v="PL_TOOLS &gt; AIOPS"/>
    <x v="0"/>
    <d v="2026-07-16T15:27:00"/>
    <x v="3"/>
    <m/>
    <m/>
  </r>
  <r>
    <n v="11213515"/>
    <s v="Device Health Observability â€“ Events vs Anomalies Chart Displaying Incorrect Data"/>
    <s v="EMEA &gt; PROD &gt; KDL &gt; PL_TOOLS"/>
    <x v="2"/>
    <x v="5"/>
    <s v="PUTTA SANJANA"/>
    <x v="34"/>
    <s v="Medium"/>
    <m/>
    <s v="PLATFORM TOOLS - BASIC DETAILS 1) SHORT DESCRIPTION: Device Health Observability â€“ Events vs Anomalies Chart Displaying Incorrect Data 2) DESCRIPTION OF REQUEST: We have identified a data visualization issue in the DEVICE HEALTH OBSERVABILITY dashboard. ISSUE OBSERVED: * The EVENTS VS ANOMALIES chart is displaying incorrect values. * The graph shows a continuous linear decline across all event categories, which appears inconsistent with the actual event and anomaly patterns. * The chart visualization does not correlate with the observations panel displayed alongside the graph. * Data representation appears inaccurate and requires validation of the underlying calculations, aggregation logic, or data source feeding the dashboard. EXPECTED BEHAVIOR: * The Events vs Anomalies chart should accurately represent the event volume and anomaly counts based on the selected date range. * Values displayed should align with the underlying health events and anomaly records. * Visualization should reflect actual trends rather than an apparent uniform decline across all categories. BUSINESS IMPACT: * Incorrect dashboard data may lead to inaccurate analysis of device health events. * Operational teams may make incorrect decisions based on misleading observability insights. Reduces confidence in Device Health Observability reporting and anomaly detection. 3) CAPABILITY/TOOL: Integrated AIOps (AIOPS) 4) KYNDRYL BRIDGE CUSTOMER FOR AIOPS LOOKUP (IF KNOWN): International Traders ACME - ace (BAC000ACME) es.ams1 5) ADDITIONAL DETAILS: THE FILES ARE TOO BIG TO ATTACH PLEASE ASSIGN TO AP DELIVERY TEAM Dashboard: Device Health Observability Widget: EVENTS VS ANOMALIES TIME Range Selected: LAST 30 DAYSScreenshot attached showing the incorrect chart behavior. Requesting investigation of: * Data source validation * Aggregation and calculation logic * Visualization rendering Backend data refresh and ETL processing 6) NOTIFY: 7) ATTACHMENTS (EVIDENCE, SCREENSHOTS, LOGS,ETC): Screenshot 2026-07-08 131908.png PLATFORM TOOLS - INTEGRATED AIOPS (AIOPS) DETAILS 1) AIOPS LOCATION: Integrated AIOPs - AP 2) AIOPS INSTANCE: Asia Pacific 3) TYPE OF REQUEST: AIOPS - General Request"/>
    <x v="0"/>
    <s v="Medium"/>
    <s v="Medium"/>
    <d v="2026-07-08T14:21:00"/>
    <s v="PL_TOOLS &gt; AIOPS"/>
    <x v="1"/>
    <d v="2026-07-16T15:23:00"/>
    <x v="2"/>
    <m/>
    <m/>
  </r>
  <r>
    <n v="11242594"/>
    <s v="telstra-controlm-jobs : oa1#telstra-controlm-jobs#P-260732700-Deployment is stuck and therefore is no longer progressing."/>
    <s v="EMEA &gt; PROD &gt; KDL &gt; PL_TOOLS"/>
    <x v="0"/>
    <x v="6"/>
    <s v="Siva Muthyala"/>
    <x v="16"/>
    <s v="Medium"/>
    <m/>
    <s v="Business Service: Integrated AIOps (AIOPS) Capability Tool: Integrated AIOPs - AP -------------------------------------------- FirstOccurrence: 2026-07-16 08:54:13 Summary: P-260732700-Deployment is stuck and therefore is no longer progressing. Severity: Major ResourceId: telstra-controlm-jobs ServerSerial: 3287367 ServerName: NCO_PRI CustomerCode: oa1 InstanceSituation: Deployment stuck URL: https://arg88263.live.dynatrace.com/#problems/problemdetails;pid=5838042577016759797_1784191860000V2 InstanceId: InstanceSituation:Deployment stuck URL:https://arg88263.live.dynatrace.com/#problems/problemdetails;pid=5838042577016759797_1784191860000V2 Node:telstra-controlm-jobs NodeAlias:{Tags[IP]} ComponentType:{Tags[OS]} OSType: AlertKey:Deployment stuck TicketGroup:K-PLTools-AIOPs-AP-Delivery-Support"/>
    <x v="0"/>
    <s v="Medium"/>
    <s v="Medium"/>
    <d v="2026-07-16T14:55:00"/>
    <s v="Inquiry / Help"/>
    <x v="0"/>
    <d v="2026-07-16T15:07:00"/>
    <x v="4"/>
    <m/>
    <m/>
  </r>
  <r>
    <n v="11239552"/>
    <s v="Need AP, IN, JP Kibana Read Access for Self Service activities. Please provide the access. Thank you"/>
    <s v="EMEA &gt; PROD &gt; KDL &gt; PL_TOOLS"/>
    <x v="2"/>
    <x v="6"/>
    <s v="Nazeefa Rajakumar Patil"/>
    <x v="35"/>
    <s v="Medium"/>
    <m/>
    <s v="PLATFORM TOOLS - BASIC DETAILS 1) SHORT DESCRIPTION: Need AP, IN, JP Kibana Read Access for Self Service activities. Please provide the access. Thank you 2) DESCRIPTION OF REQUEST: Hi Team, To support selfservice enablement program need read access to all the namespaces for AP, IN, JP Kibana. also need read access to all the stack management features mentioned below Index Management Index Lifecycle Policies Transforms Data Views Saved Objects 3) CAPABILITY/TOOL: Integrated AIOps (AIOPS) 4) KYNDRYL BRIDGE CUSTOMER FOR AIOPS LOOKUP (IF KNOWN): Demo AIOps Presales Australia - d3p (BAC9509010-AU) es.syd1 5) ORG MARKET: ANZ 6) ADDITIONAL DETAILS: Hi Team, To support selfservice enablement program need read access to all the namespaces for AP, IN, JP Kibana. also need read access to all the stack management features mentioned below Index Management Index Lifecycle Policies Transforms Data Views Saved Objects 7) NOTIFY: PLATFORM TOOLS - INTEGRATED AIOPS (AIOPS) DETAILS 1) AIOPS LOCATION: Integrated AIOPs - AP 2) AIOPS INSTANCE: Asia Pacific 3) TYPE OF REQUEST: AIOPS - General Request"/>
    <x v="0"/>
    <s v="Medium"/>
    <s v="Medium"/>
    <d v="2026-07-15T19:42:00"/>
    <s v="PL_TOOLS &gt; AIOPS"/>
    <x v="1"/>
    <d v="2026-07-16T15:05:00"/>
    <x v="0"/>
    <m/>
    <m/>
  </r>
  <r>
    <n v="11240649"/>
    <s v="Request for Deletion of Incident Records Generated During Testing"/>
    <s v="EMEA &gt; PROD &gt; KDL &gt; PL_TOOLS"/>
    <x v="0"/>
    <x v="2"/>
    <s v="Shreyani Ginna"/>
    <x v="36"/>
    <s v="Medium"/>
    <m/>
    <s v="PLATFORM TOOLS - BASIC DETAILS 1) SHORT DESCRIPTION: Request for Deletion of Incident Records Generated During Testing 2) DESCRIPTION OF REQUEST: I would like to request the deletion of all tickets ( incident , change, problem and service request ) hat were generated during testing activities related to ticket ingestion from the development environment. These records were created solely for validation and testing purposes and do not correspond to actual operational incidents. As we move forward with the ticket ingestion process pointing to the development environment, retaining these test records is no longer necessary. To maintain DATA QUALITY, ensure the accuracy of reporting, and prevent test data from impacting or skewing operational metrics, dashboards, and performance indicators, I kindly request the removal of these incident records. 3) CAPABILITY/TOOL: Integrated AIOps (AIOPS) 4) KYNDRYL BRIDGE CUSTOMER FOR AIOPS LOOKUP (IF KNOWN): Mi Banco - mib (BAC000377F-PE) es.was1 5) ORG MARKET: Strategic Markets 6) ADDITIONAL DETAILS: THIS IS THE ACCOUNT DEL SEGMT NAME DEL SEGMT ID (BAC ID) GSMA CODE GSMA DESCRIPTION ASSETMGT ID Pacifico Seguros Peru DSG00000AE f1d Pacifico Seguros BAM58600A2 7) NOTIFY: Cajahuaman Maldonado Solange PLATFORM TOOLS - INTEGRATED AIOPS (AIOPS) DETAILS 1) AIOPS LOCATION: Integrated AIOPs - NA 2) AIOPS INSTANCE: Americas 3) TYPE OF REQUEST: AIOPS - Data Deletion"/>
    <x v="0"/>
    <s v="Medium"/>
    <s v="Medium"/>
    <d v="2026-07-16T02:35:00"/>
    <s v="PL_TOOLS &gt; AIOPS"/>
    <x v="1"/>
    <d v="2026-07-16T15:03:00"/>
    <x v="4"/>
    <m/>
    <m/>
  </r>
  <r>
    <n v="11239591"/>
    <s v="Need EU Kibana Access for Self Service activities. Please provide the access. Thank you"/>
    <s v="EMEA &gt; PROD &gt; KDL &gt; PL_TOOLS"/>
    <x v="0"/>
    <x v="1"/>
    <s v="Piotr KoÅºmin"/>
    <x v="37"/>
    <s v="Medium"/>
    <m/>
    <s v="PLATFORM TOOLS - BASIC DETAILS 1) SHORT DESCRIPTION: Need EU Kibana Access for Self Service activities. Please provide the access. Thank you 2) DESCRIPTION OF REQUEST: Need EU Kibana Access for Self Service activities. Please provide the access. Thank you 3) CAPABILITY/TOOL: Integrated AIOps (AIOPS) 4) KYNDRYL BRIDGE CUSTOMER FOR AIOPS LOOKUP (IF KNOWN): WPP Group plc - wpp (BAC0002444-GB) es.ams1 5) ORG MARKET: UKI 6) ADDITIONAL DETAILS: Need EU Kibana Access for Self Service activities. Please provide the access. Thank you 7) NOTIFY: PLATFORM TOOLS - INTEGRATED AIOPS (AIOPS) DETAILS 1) AIOPS LOCATION: Integrated AIOPs - EU 2) AIOPS INSTANCE: Europe 3) TYPE OF REQUEST: AIOPS - General Request"/>
    <x v="0"/>
    <s v="Medium"/>
    <s v="Medium"/>
    <d v="2026-07-15T19:52:00"/>
    <s v="PL_TOOLS &gt; AIOPS"/>
    <x v="1"/>
    <d v="2026-07-16T14:34:00"/>
    <x v="0"/>
    <m/>
    <m/>
  </r>
  <r>
    <n v="11239673"/>
    <s v="Need EU Kibana Read Access for Self Service activities."/>
    <s v="EMEA &gt; PROD &gt; KDL &gt; PL_TOOLS"/>
    <x v="0"/>
    <x v="1"/>
    <s v="Piotr KoÅºmin"/>
    <x v="38"/>
    <s v="Medium"/>
    <m/>
    <s v="PLATFORM TOOLS - BASIC DETAILS 1) SHORT DESCRIPTION: Need EU Kibana Read Access for Self Service activities. 2) DESCRIPTION OF REQUEST: Hello Team, Need EU Prod Kibana Read Access for Self Service activities. Please provide the access. Thank you 3) CAPABILITY/TOOL: Integrated AIOps (AIOPS) 4) KYNDRYL BRIDGE CUSTOMER FOR AIOPS LOOKUP (IF KNOWN): WPP Group plc - wpp (BAC0002444-GB) es.ams1 5) ORG MARKET: UKI 6) ADDITIONAL DETAILS: 7) NOTIFY: PLATFORM TOOLS - INTEGRATED AIOPS (AIOPS) DETAILS 1) AIOPS LOCATION: Integrated AIOPs - EU 2) AIOPS INSTANCE: Europe 3) TYPE OF REQUEST: AIOPS - General Request"/>
    <x v="0"/>
    <s v="Medium"/>
    <s v="Medium"/>
    <d v="2026-07-15T20:10:00"/>
    <s v="PL_TOOLS &gt; AIOPS"/>
    <x v="1"/>
    <d v="2026-07-16T14:34:00"/>
    <x v="0"/>
    <m/>
    <m/>
  </r>
  <r>
    <n v="11241820"/>
    <s v="Discrepancy between Inventory Service, Inventoy Overview dashboard, and Inventory performance dashboard"/>
    <s v="EMEA &gt; PROD &gt; KDL &gt; PL_TOOLS"/>
    <x v="0"/>
    <x v="6"/>
    <s v="Hanmaji Namuthabad"/>
    <x v="39"/>
    <s v="Medium"/>
    <m/>
    <s v="PLATFORM TOOLS - BASIC DETAILS 1) CAPABILITY/TOOL: Integrated AIOps (AIOPS) 2) SHORT DESCRIPTION: Discrepancy between Inventory Service, Inventoy Overview dashboard, and Inventory performance dashboard 3) DESCRIPTION OF ISSUE: Hi, I got discrepancy number between Inventory Service, Inventoy Overview dashboard, and Inventory performance dashboard. Details in attachment. Kindly help to check and how each dasboard calculated. 4) KYNDRYL BRIDGE CUSTOMER FOR AIOPS LOOKUP (IF KNOWN): Indosat - i4t (BAC000268F-ID) es.syd1 5) ORG MARKET: Strategic Markets 6) WATCH LIST: 7) REPORTED PRIORITY: P3 - Medium (Sev3) 8) ADDITIONAL DETAILS: 9) ATTACHMENTS (EVIDENCE, SCREENSHOTS, LOGS,ETC): Discrepancy IS.png PLATFORM TOOLS - INTEGRATED AIOPS (AIOPS) DETAILS 1) AIOPS LOCATION: Integrated AIOPs - AP 2) AIOPS INSTANCE: Asia Pacific 3) AIOPS DATA PLANE: 4) WHERE ON THE WEB PAGE IS THE ISSUE LOCATED?: Home &gt; Header &gt; Insights &gt; Dashboards 5) WHAT SUBCATEGORY OF THE LOCATION IS THE ISSUE RELATED TO?: Inventory 6) URL OF THE WEB PAGE DISPLAYING THE ISSUE: 7) WHAT IS THE ISSUE?: Incorrect data"/>
    <x v="0"/>
    <s v="Medium"/>
    <s v="Medium"/>
    <d v="2026-07-16T11:51:00"/>
    <s v="PL_TOOLS &gt; AIOPS"/>
    <x v="0"/>
    <d v="2026-07-16T14:30:00"/>
    <x v="4"/>
    <m/>
    <m/>
  </r>
  <r>
    <n v="11241352"/>
    <s v="Need AP, IN, JP Kibana Read Access for Self Service activities. Please provide the access. Thank you"/>
    <s v="EMEA &gt; PROD &gt; KDL &gt; PL_TOOLS"/>
    <x v="2"/>
    <x v="6"/>
    <s v="Syeda Nasreen"/>
    <x v="40"/>
    <s v="Medium"/>
    <m/>
    <s v="PLATFORM TOOLS - BASIC DETAILS 1) SHORT DESCRIPTION: Need AP, IN, JP Kibana Read Access for Self Service activities. Please provide the access. Thank you 2) DESCRIPTION OF REQUEST: Hi Team, To support selfservice enablement program need read access to all the namespaces for AP, IN, JP Kibana. also need read access to all the stack management features mentioned below Index Management Index Lifecycle Policies Transforms Data Views Saved Objects 3) CAPABILITY/TOOL: Integrated AIOps (AIOPS) 4) KYNDRYL BRIDGE CUSTOMER FOR AIOPS LOOKUP (IF KNOWN): ADAI Managed Apps - BRENNTAG PTE LTD - bap (BAC0003426-SG) es.syd1 5) ORG MARKET: ANZ 6) ADDITIONAL DETAILS: Hi Team, To support selfservice enablement program need read access to all the namespaces for AP, IN, JP Kibana. also need read access to all the stack management features mentioned below Index Management Index Lifecycle Policies Transforms Data Views Saved Objects 7) NOTIFY: PLATFORM TOOLS - INTEGRATED AIOPS (AIOPS) DETAILS 1) AIOPS LOCATION: Integrated AIOPs - AP 2) AIOPS INSTANCE: Asia Pacific 3) TYPE OF REQUEST: AIOPS - General Request"/>
    <x v="0"/>
    <s v="Medium"/>
    <s v="Medium"/>
    <d v="2026-07-16T08:31:00"/>
    <s v="PL_TOOLS &gt; AIOPS"/>
    <x v="1"/>
    <d v="2026-07-16T14:16:00"/>
    <x v="4"/>
    <m/>
    <m/>
  </r>
  <r>
    <n v="11210738"/>
    <s v="PL_TOOLS - Request - AIOPS - Request Offboarding from Integrated AIOPS"/>
    <s v="EMEA &gt; PROD &gt; KDL &gt; PL_TOOLS"/>
    <x v="2"/>
    <x v="1"/>
    <s v="Theodoros Gkekas"/>
    <x v="41"/>
    <s v="Medium"/>
    <m/>
    <s v="PLATFORM TOOLS - CUSTOMER DETAILS 1) CAPABILITY/TOOL: Integrated AIOps (AIOPS) 2) ACCOUNT LOOKUP (IF KNOWN): DEDAGROUP STEALTH SPA - wtd (BAC0001386-IT) es.ams1 3) AIOPS LOCATION: Integrated AIOPs - EU PLATFORM TOOLS - AIOPS REQUEST DETAILS 1) AIOPS DATA PLANE: 2) IMPACTED COUNTRY: Italy 3) ACCOUNT DPE NAME: Giorgio Parolini 4) ACCOUNT DPE EMAIL: giorgio.parolini@kyndryl.com 5) DPE EMAIL APPROVAL ATTACHMENT: DPE email approval.pdf 6) DESCRIPTION: Contract closed . I confirm that pre-requisites have been already completed. 7) ATTACHED OFFBOARDING FORM: offboarding_decomm_form 4.docx PLATFORM TOOLS - ADDITIONAL INFORMATION 1) NOTIFY:"/>
    <x v="0"/>
    <s v="Medium"/>
    <s v="Medium"/>
    <d v="2026-07-07T19:59:00"/>
    <s v="PL_TOOLS &gt; AIOPS"/>
    <x v="1"/>
    <d v="2026-07-16T14:02:00"/>
    <x v="2"/>
    <m/>
    <m/>
  </r>
  <r>
    <n v="11023800"/>
    <s v="PL_Tools Incident - Cloud Automation Community Framework (CACF)"/>
    <s v="EMEA &gt; PROD &gt; KDL &gt; PL_TOOLS"/>
    <x v="2"/>
    <x v="2"/>
    <s v="Shreyani Ginna"/>
    <x v="42"/>
    <s v="Medium"/>
    <m/>
    <s v="FORM DATA PLATFORM TOOLS - BASIC DETAILS 1) CAPABILITY/TOOL : Cloud Automation Community Framework (CACF) 2) SHORT DESCRIPTION : Six Hosts are having connection issue 3) DESCRIPTION OF ISSUE : List of Hosts - hclfmfs5045 - IBM Storage hcltmfs5045 - IBM Storage hdmc-fm-8969-1 - Brocade Switch hdmc-fm-8969-2 - Brocade Switch hdmc-tm-8969-1 - Brocade Switch hdmc-tm-8969-2 - Brocade Switch Ansible Playbook Jobs are succesful and sfs logs are collected Attaching specimen for hclfmfs5045/hcltmfs5045 4) CUSTOMER IMPACTED? : No 5) CUSTOMER BLUEID LOOKUP (IF KNOWN) : hhd - Honda - United States of America - BAC0000E1E - Mkt: USA 6) ORG MARKET : USA 7) WATCH LIST : 8) REPORTED PRIORITY : P3 - Medium (Sev3) 9) ADDITIONAL DETAILS : 10) ATTACHMENTS (EVIDENCE, SCREENSHOTS, LOGS,ETC) : Attached document PLATFORM TOOLS - CLOUD AUTOMATION COMMUNITY FRAMEWORK (CACF) DETAILS 11) LOCATION OF CAPABILITY/TOOL INSTANCE : CACF - NA 12) CAPABILITY/TOOL INSTANCE : CACF - NA3 13) ISSUE CATEGORY : Connectivity"/>
    <x v="0"/>
    <s v="Medium"/>
    <s v="Medium"/>
    <d v="2026-05-20T22:56:00"/>
    <s v="PL_TOOLS &gt; CACF"/>
    <x v="0"/>
    <d v="2026-07-16T14:00:00"/>
    <x v="6"/>
    <m/>
    <m/>
  </r>
  <r>
    <n v="11211747"/>
    <s v="Kibana dashboard prod filter changes are not taking effect"/>
    <s v="EMEA &gt; PROD &gt; KDL &gt; PL_TOOLS"/>
    <x v="2"/>
    <x v="2"/>
    <s v="Shreyani Ginna"/>
    <x v="43"/>
    <s v="Medium"/>
    <m/>
    <s v="PLATFORM TOOLS - BASIC DETAILS 1) CAPABILITY/TOOL: Integrated AIOps (AIOPS) 2) SHORT DESCRIPTION: Kibana dashboard prod filter changes are not taking effect 3) DESCRIPTION OF ISSUE: Kibana Dashboards =&gt; Network Management =&gt; Network Performance Monitoring =&gt; Monitoring Dashboard is filtered by default to 7 days, this was changed to 2 hours in dev/stage environment and changed ndjson file was imported in prod instance. As part of this prod deployment, all other changes to dashboard has taken effect but not the filter change to 2 hours Hence creating this ticket to review prod setup or manually update and save the filter to 2 hours 4) KYNDRYL BRIDGE CUSTOMER FOR AIOPS LOOKUP (IF KNOWN): Service Delivery Center Uruguay - sd0 (BAC0001186-UY) es.was1 5) ORG MARKET: ANZ 6) WATCH LIST: 7) REPORTED PRIORITY: P2 - High (Sev2) 8) ADDITIONAL DETAILS: PLATFORM TOOLS - INTEGRATED AIOPS (AIOPS) DETAILS 1) AIOPS LOCATION: Integrated AIOPs - AP 2) AIOPS INSTANCE: Asia Pacific 3) AIOPS DATA PLANE: syd1 4) WHERE ON THE WEB PAGE IS THE ISSUE LOCATED?: Home &gt; Header &gt; Insights &gt; Dashboards &gt; All Dashboards 5) WHAT SUBCATEGORY OF THE LOCATION IS THE ISSUE RELATED TO?: Network Performance Monitoring (SYD) 6) URL OF THE WEB PAGE DISPLAYING THE ISSUE: https://www.kyndryl.com/bridge/aiops/insights/dashboard/a9faae9c-386a-4784-ab09-9a5925cb5861/ 7) WHAT IS THE ISSUE?: Configuration"/>
    <x v="0"/>
    <s v="High"/>
    <s v="Medium"/>
    <d v="2026-07-08T03:27:00"/>
    <s v="PL_TOOLS &gt; AIOPS"/>
    <x v="0"/>
    <d v="2026-07-16T13:58:00"/>
    <x v="2"/>
    <m/>
    <m/>
  </r>
  <r>
    <n v="11186291"/>
    <s v="Adding BACs to the Global OU."/>
    <s v="EMEA &gt; PROD &gt; KDL &gt; PL_TOOLS"/>
    <x v="0"/>
    <x v="2"/>
    <s v="Ravi Vadapally"/>
    <x v="44"/>
    <s v="Medium"/>
    <m/>
    <s v="PLATFORM TOOLS - BASIC DETAILS 1) SHORT DESCRIPTION: Adding BACs to the Global OU. 2) DESCRIPTION OF REQUEST: Hi Team, Please add the below BACs as well to the OU cad851fa26df.1 as they are global accounts and belongs to the same POD. Attached the approval. USA US-Single Account-AMERICAN EXPRESS-2 Nanjunda.Murthy@kyndryl.com JP_AMEX BAC000081F USA US-Single Account-AMERICAN EXPRESS-2 Nanjunda.Murthy@kyndryl.com AUAMEX BAC0000F3A USA US-Single Account-AMERICAN EXPRESS-2 Nanjunda.Murthy@kyndryl.com MYAMEX BAC0002155 USA US-Single Account-AMERICAN EXPRESS-2 Nanjunda.Murthy@kyndryl.com NDITOS029 BAC00012DA USA US-Single Account-AMERICAN EXPRESS-2 Nanjunda.Murthy@kyndryl.com TW_AMEX BAC00024FF 3) CAPABILITY/TOOL: Integrated AIOps (AIOPS) 4) KYNDRYL BRIDGE CUSTOMER FOR AIOPS LOOKUP (IF KNOWN): American Express - amx (BAC000101B-US) es.was1 5) ORG MARKET: USA 6) ADDITIONAL DETAILS: 7) NOTIFY: 8) ATTACHMENTS (EVIDENCE, SCREENSHOTS, LOGS,ETC): Re_ Action Required_ Update on BACs to OU Tagging in AIOps.pdf PLATFORM TOOLS - INTEGRATED AIOPS (AIOPS) DETAILS 1) AIOPS LOCATION: Integrated AIOPs - NA 2) AIOPS INSTANCE: Americas 3) TYPE OF REQUEST: AIOPS - General Request"/>
    <x v="0"/>
    <s v="Medium"/>
    <s v="Medium"/>
    <d v="2026-07-01T09:00:00"/>
    <s v="PL_TOOLS &gt; AIOPS"/>
    <x v="1"/>
    <d v="2026-07-16T13:51:00"/>
    <x v="3"/>
    <m/>
    <m/>
  </r>
  <r>
    <n v="11221063"/>
    <s v="Getting error while clicking inventory details from CIO Console dashboard - HMSI"/>
    <s v="EMEA &gt; PROD &gt; KDL &gt; PL_TOOLS"/>
    <x v="0"/>
    <x v="7"/>
    <s v="Sneha ."/>
    <x v="45"/>
    <s v="Medium"/>
    <m/>
    <s v="PLATFORM TOOLS - BASIC DETAILS 1) CAPABILITY/TOOL: Integrated AIOps (AIOPS) 2) SHORT DESCRIPTION: Getting error while clicking inventory details from CIO Console dashboard - HMSI 3) DESCRIPTION OF ISSUE: Getting error while clicking inventory details from CIO Console dashboard - HMSI. even though i have required inventory service access. multiple users are getting the same error 4) KYNDRYL BRIDGE CUSTOMER FOR AIOPS LOOKUP (IF KNOWN): Honda (HMSI) - hmi (BAC00024C9-IN) es.che1 5) ORG MARKET: India 6) WATCH LIST: Chitrambalam Radhakrishnan, Danish Shakeel 7) REPORTED PRIORITY: P2 - High (Sev2) 8) ADDITIONAL DETAILS: Please check it on priority, as we have the CIO presentation next week 9) ATTACHMENTS (EVIDENCE, SCREENSHOTS, LOGS,ETC): HMSI_inventory.png, HMSI_error.png PLATFORM TOOLS - INTEGRATED AIOPS (AIOPS) DETAILS 1) AIOPS LOCATION: Integrated AIOPs - IN 2) AIOPS INSTANCE: India 3) AIOPS DATA PLANE: 4) WHERE ON THE WEB PAGE IS THE ISSUE LOCATED?: Home &gt; Header &gt; Insights &gt; Dashboards 5) WHAT SUBCATEGORY OF THE LOCATION IS THE ISSUE RELATED TO?: Dashboard 6) URL OF THE WEB PAGE DISPLAYING THE ISSUE: 7) WHAT IS THE ISSUE?: Configuration"/>
    <x v="0"/>
    <s v="High"/>
    <s v="Medium"/>
    <d v="2026-07-10T08:56:00"/>
    <s v="PL_TOOLS &gt; AIOPS"/>
    <x v="0"/>
    <d v="2026-07-16T13:41:00"/>
    <x v="2"/>
    <m/>
    <m/>
  </r>
  <r>
    <n v="11221080"/>
    <s v="How do we enable new widget in CIO Console dashboard"/>
    <s v="EMEA &gt; PROD &gt; KDL &gt; PL_TOOLS"/>
    <x v="0"/>
    <x v="7"/>
    <s v="Sneha ."/>
    <x v="45"/>
    <s v="Medium"/>
    <m/>
    <s v="PLATFORM TOOLS - BASIC DETAILS 1) SHORT DESCRIPTION: How do we enable new widget in CIO Console dashboard 2) DESCRIPTION OF REQUEST: How do we enable new widget in CIO Console dashboard. There was a requirement from HMSI CIO, we need to customize the dashboard as per the CIO requirement. Please let us know the process for adding new widget in CIO Console dashboard. CIO Console 3) CAPABILITY/TOOL: Integrated AIOps (AIOPS) 4) KYNDRYL BRIDGE CUSTOMER FOR AIOPS LOOKUP (IF KNOWN): Honda (HMSI) - hmi (BAC00024C9-IN) es.che1 5) ORG MARKET: India 6) ADDITIONAL DETAILS: this is the requirement from HMSI CIO 7) NOTIFY: Chitrambalam Radhakrishnan, Danish Shakeel 8) ATTACHMENTS (EVIDENCE, SCREENSHOTS, LOGS,ETC): HMSI_CIO dashboard.png PLATFORM TOOLS - INTEGRATED AIOPS (AIOPS) DETAILS 1) AIOPS LOCATION: Integrated AIOPs - IN 2) AIOPS INSTANCE: India 3) TYPE OF REQUEST: AIOPS - General Request"/>
    <x v="0"/>
    <s v="Medium"/>
    <s v="Medium"/>
    <d v="2026-07-10T09:03:00"/>
    <s v="PL_TOOLS &gt; AIOPS"/>
    <x v="1"/>
    <d v="2026-07-16T13:40:00"/>
    <x v="2"/>
    <m/>
    <m/>
  </r>
  <r>
    <n v="11242124"/>
    <s v="Request to Change Approver Permissions for ARMS (OU Type: country)"/>
    <s v="EMEA &gt; PROD &gt; KDL &gt; PL_TOOLS"/>
    <x v="0"/>
    <x v="3"/>
    <s v="Mounika Reddy Vemula"/>
    <x v="14"/>
    <s v="Medium"/>
    <m/>
    <s v="PLATFORM TOOLS - BASIC DETAILS 1) SHORT DESCRIPTION: Request to Change Approver Permissions for ARMS (OU Type: country) 2) DESCRIPTION OF REQUEST: *This request is not for a specific account. As Umemura-san is taking over the role previously held by Hayafune-san, we would like to change the approver for the following access group. Please change the approver. -Target Access Group: OU Type: country, OUs: Japan, Access Groups: bundle-security-and-compliance-management -Current Approver: Yuki.Hayafune@kyndryl.com -New Approver: Eisuke.Umemura@kyndryl.com 3) CAPABILITY/TOOL: Integrated AIOps (AIOPS) 4) KYNDRYL BRIDGE CUSTOMER FOR AIOPS LOOKUP (IF KNOWN): Kyndryl I-AIOps Japan - xx2 (BAC00039DD-JP) es.jpn1 5) ORG MARKET: Japan 6) ADDITIONAL DETAILS: I attached approval for this change. 7) NOTIFY: FUKUDA TETSUYA, Lu Shiyuan, Yamaguchi Teppei 8) ATTACHMENTS (EVIDENCE, SCREENSHOTS, LOGS,ETC): Approval_bundle-security-and-compliance-management.pdf PLATFORM TOOLS - INTEGRATED AIOPS (AIOPS) DETAILS 1) AIOPS LOCATION: Integrated AIOPs - JP 2) AIOPS INSTANCE: Japan 3) TYPE OF REQUEST: AIOPS - ARMS"/>
    <x v="0"/>
    <s v="Medium"/>
    <s v="Medium"/>
    <d v="2026-07-16T13:19:00"/>
    <s v="PL_TOOLS &gt; AIOPS"/>
    <x v="1"/>
    <d v="2026-07-16T13:30:00"/>
    <x v="4"/>
    <m/>
    <m/>
  </r>
  <r>
    <n v="11242183"/>
    <s v="op3#itom-bdn-source-v2#Cleared and Re-fired: P-260731747-Java heap space"/>
    <s v="EMEA &gt; PROD &gt; KDL &gt; PL_TOOLS"/>
    <x v="1"/>
    <x v="2"/>
    <m/>
    <x v="16"/>
    <s v="Medium"/>
    <m/>
    <s v="Business Service: Integrated AIOps (AIOPS) Capability Tool: Integrated AIOPs - Americas -------------------------------------------- FirstOccurrence: 2026-07-15 07:55:59 Summary: Cleared and Re-fired: P-260731747-Java heap space Severity: Major ResourceId: itom-bdn-source-v2 ServerSerial: 10497399 ServerName: NCO_PRI CustomerCode: op3 InstanceSituation: Name: itom-bdn-source-v2 URL: https://arg88263.live.dynatrace.com/#problems/problemdetails;pid=-6746921630871761293_1784102137905V2 NodeAlias: {Tags[IP]} ComponentType: {Tags[OS]} OSType: AlertKey: Name: itom-bdn-source-v2 TicketGroup: K-PLTools-AIOPs-Americas-Delivery-Support"/>
    <x v="0"/>
    <s v="Medium"/>
    <s v="Medium"/>
    <d v="2026-07-16T13:26:00"/>
    <s v="Inquiry / Help"/>
    <x v="0"/>
    <d v="2026-07-16T13:26:00"/>
    <x v="4"/>
    <m/>
    <m/>
  </r>
  <r>
    <n v="11100802"/>
    <s v="PL_Tools Incident - Kyndryl Bridge"/>
    <s v="EMEA &gt; PROD &gt; KDL &gt; PL_TOOLS"/>
    <x v="2"/>
    <x v="2"/>
    <s v="Kathyayini Kamath"/>
    <x v="46"/>
    <s v="Low"/>
    <m/>
    <s v="PLATFORM TOOLS - BASIC DETAILS 1) CAPABILITY/TOOL: Kyndryl Bridge 2) SHORT DESCRIPTION: Windows servers allow weak encryption -TLS &amp; Hellman key length 3) DESCRIPTION OF ISSUE: We manually validated a few servers and confirmed that system and application log retention is configured as per the defined process. However, deviations were observed in AIOPs. Please check validate and confirm. 4) CUSTOMER IMPACTED?: Yes 5) CUSTOMER BLUEID LOOKUP (IF KNOWN): or2 - Operadora Romano - Mexico - BAC0002E61 - Mkt: Strategic Market 6) ORG MARKET: Strategic Markets 7) WATCH LIST: RAMOS JUANA ANDREA 8) REPORTED PRIORITY: P4 - Low (Sev4) 9) ADDITIONAL DETAILS: 10) ATTACHMENTS (EVIDENCE, SCREENSHOTS, LOGS,ETC): Windows servers allow weak encryption_evi.pdf, TLS_DH_Audit_Dashboard_20260605_154754.html PLATFORM TOOLS - KYNDRYL BRIDGE DETAILS 1) LOCATION OF CAPABILITY/TOOL INSTANCE: Kyndryl Bridge Global 2) ISSUE CATEGORY: General"/>
    <x v="2"/>
    <s v="Low"/>
    <s v="Low"/>
    <d v="2026-06-09T03:47:00"/>
    <s v="PL_TOOLS &gt; KB"/>
    <x v="0"/>
    <d v="2026-07-16T13:12:00"/>
    <x v="6"/>
    <m/>
    <m/>
  </r>
  <r>
    <n v="11209176"/>
    <s v="PL_TOOLS - Request - AIOPS - Request Offboarding from Integrated AIOPS"/>
    <s v="EMEA &gt; PROD &gt; KDL &gt; PL_TOOLS"/>
    <x v="2"/>
    <x v="1"/>
    <s v="Theodoros Gkekas"/>
    <x v="47"/>
    <s v="Medium"/>
    <m/>
    <s v="PLATFORM TOOLS - CUSTOMER DETAILS 1) CAPABILITY/TOOL: Integrated AIOps (AIOPS) 2) ACCOUNT LOOKUP (IF KNOWN): SMEUP ICS S.R.L. - v66 (BAC00035E0-IT) es.ams1 3) AIOPS LOCATION: Integrated AIOPs - EU PLATFORM TOOLS - AIOPS REQUEST DETAILS 1) AIOPS DATA PLANE: 2) IMPACTED COUNTRY: USA 3) ACCOUNT DPE NAME: Luciano Magnavacchi 4) ACCOUNT DPE EMAIL: luciano.magnavacchi@kyndryl.com 5) DPE EMAIL APPROVAL ATTACHMENT: SMEUP approval deletation by DP from aiops.pdf, Screenshot SMEUP ILMT July 26.png, Screenshot SMEUP Inventory July 26.png 6) DESCRIPTION: Smeup contract is closed - All pre-requisited activity was done 7) ATTACHED OFFBOARDING FORM: offboarding_decomm_form 4.docx PLATFORM TOOLS - ADDITIONAL INFORMATION 1) NOTIFY: Fedeli Gian Luca"/>
    <x v="0"/>
    <s v="Medium"/>
    <s v="Medium"/>
    <d v="2026-07-07T17:28:00"/>
    <s v="PL_TOOLS &gt; AIOPS"/>
    <x v="1"/>
    <d v="2026-07-16T12:54:00"/>
    <x v="2"/>
    <m/>
    <m/>
  </r>
  <r>
    <n v="11241969"/>
    <s v="Extension creation Error in prod account"/>
    <s v="EMEA &gt; PROD &gt; KDL &gt; PL_TOOLS"/>
    <x v="0"/>
    <x v="1"/>
    <s v="Kinga Kirner"/>
    <x v="48"/>
    <s v="Medium"/>
    <m/>
    <s v="PLATFORM TOOLS - BASIC DETAILS 1) SHORT DESCRIPTION: Extension creation Error in prod account 2) DESCRIPTION OF REQUEST: Hi! I'm trying to create an instance of a new extension in an account in PROD, but I'm getting the error &quot;An unexpected error occurred: Failed to create extension: You do not have sufficient permissions to create extensions in this tenant.&quot; I do have extensions-admin for the account on ARMS and below I attached the screenshot for the call, only 1 api is giving error 400. This is the first time I deploy an extension on this account. A'm also attaching my ARMS access for this account. Account: FSTECH-TIAKY-GARA5 Country: Italy 3) CAPABILITY/TOOL: Integrated AIOps (AIOPS) 4) KYNDRYL BRIDGE CUSTOMER FOR AIOPS LOOKUP (IF KNOWN): FSTECH-TIAKY-GARA5 - wti (BAC0000CE9-IT) es.ams1 5) ORG MARKET: Italy 6) ADDITIONAL DETAILS: 7) NOTIFY: 8) ATTACHMENTS (EVIDENCE, SCREENSHOTS, LOGS,ETC): Screenshot 2026-07-14 165838.png, Screenshot 2026-03-25 115102.png, ARMS GARA5 Access.pdf PLATFORM TOOLS - INTEGRATED AIOPS (AIOPS) DETAILS 1) AIOPS LOCATION: Integrated AIOPs - EU 2) AIOPS INSTANCE: Europe 3) TYPE OF REQUEST: AIOPS - Extensions Deployment"/>
    <x v="0"/>
    <s v="Medium"/>
    <s v="Medium"/>
    <d v="2026-07-16T12:40:00"/>
    <s v="PL_TOOLS &gt; AIOPS"/>
    <x v="1"/>
    <d v="2026-07-16T12:49:00"/>
    <x v="4"/>
    <m/>
    <m/>
  </r>
  <r>
    <n v="10975233"/>
    <s v="PL_Tools Request - Integrated AIOps (AIOPS)"/>
    <s v="EMEA &gt; PROD &gt; KDL &gt; PL_TOOLS"/>
    <x v="0"/>
    <x v="2"/>
    <s v="Praveen Dudam"/>
    <x v="49"/>
    <s v="Medium"/>
    <m/>
    <s v="FORM DATA PLATFORM TOOLS - BASIC DETAILS 1) SHORT DESCRIPTION : Correct AIOPS entries 2) DESCRIPTION OF REQUEST : There are many wrong entries on AIOPS from Brazil team. Please correct 3) CAPABILITY/TOOL : Integrated AIOps (AIOPS) 4) ACCOUNT LOOKUP (IF KNOWN) : *Multiple Customers 5) LIST OF CUSTOMER : *Multiple Customers 6) CUSTOMER LIST : Please find attached list. Column B describe the expected action. 7) ORG MARKET : Strategic Markets 8) ADDITIONAL DETAILS : 9) NOTIFY : Tozelli Nolli Ricardo Rocha Moreira Aline Da 10) ATTACHMENTS (EVIDENCE, SCREENSHOTS, LOGS,ETC) : Attached document PLATFORM TOOLS - INTEGRATED AIOPS (AIOPS) DETAILS 11) AIOPS LOCATION : Integrated AIOPs - Global 12) AIOPS INSTANCE : Global 13) TYPE OF REQUEST : AIOPS - OU Update"/>
    <x v="0"/>
    <s v="Medium"/>
    <s v="Medium"/>
    <d v="2026-05-11T20:03:00"/>
    <s v="PL_TOOLS &gt; AIOPS"/>
    <x v="1"/>
    <d v="2026-07-16T12:41:00"/>
    <x v="7"/>
    <m/>
    <m/>
  </r>
  <r>
    <n v="11214903"/>
    <s v="Need to bring my account Incident Problem and Change data from GLPI Eur to my AIOPS"/>
    <s v="EMEA &gt; PROD &gt; KDL &gt; PL_TOOLS"/>
    <x v="0"/>
    <x v="1"/>
    <s v="JiÅ™Ã­ KuÅ¾ela"/>
    <x v="50"/>
    <s v="Medium"/>
    <m/>
    <s v="PLATFORM TOOLS - BASIC DETAILS 1) SHORT DESCRIPTION: Need to bring my account Incident Problem and Change data from GLPI Eur to my AIOPS 2) DESCRIPTION OF REQUEST: Need to bring my account Incident Problem and Change data from GLPI Eur to my AIOPS OU in EUR: GCS - S&amp;R - Zero Trust Identity, Global EUR (GCSSSEPWW-ZT EUR) 3) CAPABILITY/TOOL: Integrated AIOps (AIOPS) 4) KYNDRYL BRIDGE CUSTOMER FOR AIOPS LOOKUP (IF KNOWN): IMI IAMaas (Global Iam as a Service) - rox (BAM0004EB6-US) es.was1 5) ORG MARKET: Strategic Markets 6) ADDITIONAL DETAILS: **This is the correct Customer: IAMaaS EUR IAZ Account OU: GCS - S&amp;R - Zero Trust Identity, Global EUR (GCSSSEPWW-ZT EUR) GLPI Instance EUR: EMEA &gt; PROD &gt; NX &gt; Global &gt; IAZ - IAMaaS Europe Data Type: TICKET, Metrics Source Client Identifies: IAZ BAC3709010 7) NOTIFY: PLATFORM TOOLS - INTEGRATED AIOPS (AIOPS) DETAILS 1) AIOPS LOCATION: Integrated AIOPs - EU 2) AIOPS INSTANCE: Europe 3) TYPE OF REQUEST: AIOPS - Client Tool Mapping"/>
    <x v="0"/>
    <s v="Medium"/>
    <s v="Medium"/>
    <d v="2026-07-08T19:22:00"/>
    <s v="PL_TOOLS &gt; AIOPS"/>
    <x v="1"/>
    <d v="2026-07-16T12:37:00"/>
    <x v="2"/>
    <m/>
    <m/>
  </r>
  <r>
    <n v="11240734"/>
    <s v="Please remove BAC ID: BAC0000ED1, BAM ID: BAM0000695 and GSMA code: S1F that belong to the account SNI Shared Comm Infra from the pool GCS - N&amp;E - GSNI, DC LAN, REDDI, USA (GCSNNWCUS-Network)"/>
    <s v="EMEA &gt; PROD &gt; KDL &gt; PL_TOOLS"/>
    <x v="0"/>
    <x v="2"/>
    <s v="Ravi Vadapally"/>
    <x v="51"/>
    <s v="Medium"/>
    <m/>
    <s v="PLATFORM TOOLS - BASIC DETAILS 1) SHORT DESCRIPTION: Please remove BAC ID: BAC0000ED1, BAM ID: BAM0000695 and GSMA code: S1F that belong to the account SNI Shared Comm Infra from the pool GCS - N&amp;E - GSNI, DC LAN, REDDI, USA (GCSNNWCUS-Network) 2) DESCRIPTION OF REQUEST: Please remove BAC ID: BAC0000ED1, BAM ID: BAM0000695 and GSMA code: S1F that belong to the account SNI Shared Comm Infra from the pool GCS - N&amp;E - GSNI, DC LAN, REDDI, USA (GCSNNWCUS-Network) 3) CAPABILITY/TOOL: Integrated AIOps (AIOPS) 4) KYNDRYL BRIDGE CUSTOMER FOR AIOPS LOOKUP (IF KNOWN): REDDI - rdd (BAC00036FB-US) es.was1 5) ORG MARKET: USA 6) ADDITIONAL DETAILS: 7) NOTIFY: 8) ATTACHMENTS (EVIDENCE, SCREENSHOTS, LOGS,ETC): DPE Approval for BAC, BAM and GSMA code removal.pdf PLATFORM TOOLS - INTEGRATED AIOPS (AIOPS) DETAILS 1) AIOPS LOCATION: Integrated AIOPs - NA 2) AIOPS INSTANCE: Americas 3) TYPE OF REQUEST: AIOPS - OU Update"/>
    <x v="0"/>
    <s v="Medium"/>
    <s v="Medium"/>
    <d v="2026-07-16T03:05:00"/>
    <s v="PL_TOOLS &gt; AIOPS"/>
    <x v="1"/>
    <d v="2026-07-16T12:35:00"/>
    <x v="4"/>
    <m/>
    <m/>
  </r>
  <r>
    <n v="11072534"/>
    <s v="PL_Tools Request - Integrated AIOps (AIOPS)"/>
    <s v="EMEA &gt; PROD &gt; KDL &gt; PL_TOOLS"/>
    <x v="0"/>
    <x v="2"/>
    <s v="Kathyayini Kamath"/>
    <x v="52"/>
    <s v="Medium"/>
    <m/>
    <s v="PLATFORM TOOLS - BASIC DETAILS 1) SHORT DESCRIPTION: Limited Visibility of ThreatCon Alerts in AIOps Despite Assigned Roles 2) DESCRIPTION OF REQUEST: AS PART OF MY RESPONSIBILITIES WITHIN THE SYSTEM COMPLIANCE SERVICES (SCS) TEAM IN MEXICO, I AM RESPONSIBLE FOR THE CONTINUOUS REVIEW AND FOLLOW-UP OF THREATCON ALERTS RECEIVED ON A REGULAR BASIS. DURING THE ANALYSIS OF AVAILABLE TOOLS, IT WAS IDENTIFIED THAT AIOPS INCLUDES A _THREATCON INSIGHTS_ SECTION. BASED ON THIS, MULTIPLE ROLES WERE REQUESTED THROUGH ARMS TO ENABLE VISIBILITY AT THE ACCOUNT LEVEL: * _platform-viewer_ * _bundle-performance_ * _bundle-transformation-management_ * _bundle-security-and-compliance-management_ * _bundle-security-and-vulnerability-management_ THE OBJECTIVE OF THESE ACCESSES IS TO OBTAIN CONSOLIDATED VISIBILITY OF METRICS ACROSS THE DIFFERENT ACCOUNTS IN MEXICO. WHILE THESE ROLES ALLOW ACCESS TO THE _THREATCON INSIGHTS_ SECTION, IT IS CURRENTLY NOT POSSIBLE TO EXTRACT A DETAILED LIST OF OPEN ALERTS OR THOSE THAT HAVE BEEN CLOSED PER ACCOUNT. THIS LIMITATION IMPACTS OPERATIONAL TRACKING AND THE ABILITY TO GENERATE EXECUTIVE-LEVEL REPORTING. IN THIS CONTEXT, CLARIFICATION IS REQUIRED REGARDING THE MECHANISM OR ADDITIONAL ACCESS NEEDED TO RETRIEVE THIS INFORMATION IN A STRUCTURED MANNER, AS WELL AS TO VALIDATE WHETHER THERE ARE CURRENT LIMITATIONS RELATED TO ROLES, DATA VISIBILITY, OR TOOL FUNCTIONALITY. 3) CAPABILITY/TOOL: Integrated AIOps (AIOPS) 4) KYNDRYL BRIDGE CUSTOMER FOR AIOPS LOOKUP (IF KNOWN): *Multiple Customers 5) ORG MARKET: US Shared 6) ADDITIONAL DETAILS: I was able to download a CSV file containing closed vulnerabilities; however, not all Mexico accounts are reflected in the report. Additionally, when extracting open vulnerabilities, the data returned is not usable, as it appears in a coded or non-readable format rather than a structured list with the required information. I attempted to attach the file for reference; however, it was not possible due to its size. Instead, I have included an image of the first rows. 7) NOTIFY: 8) ATTACHMENTS (EVIDENCE, SCREENSHOTS, LOGS,ETC): rows.png PLATFORM TOOLS - INTEGRATED AIOPS (AIOPS) DETAILS 1) AIOPS LOCATION: Integrated AIOPs - Global 2) AIOPS INSTANCE: Global 3) TYPE OF REQUEST: AIOPS - General Request"/>
    <x v="0"/>
    <s v="Medium"/>
    <s v="Medium"/>
    <d v="2026-06-02T05:04:00"/>
    <s v="PL_TOOLS &gt; AIOPS"/>
    <x v="1"/>
    <d v="2026-07-16T12:34:00"/>
    <x v="6"/>
    <m/>
    <m/>
  </r>
  <r>
    <n v="11233241"/>
    <s v="I can no longer access any AIOps features."/>
    <s v="EMEA &gt; PROD &gt; KDL &gt; PL_TOOLS"/>
    <x v="0"/>
    <x v="7"/>
    <s v="Kathyayini Kamath"/>
    <x v="53"/>
    <s v="Low"/>
    <m/>
    <s v="For example, when I try to access this URL: https://www.kyndryl.com/bridge/aiops/home/ I get an authentication error. Also, when I access: https://www.kyndryl.com/bridge/console/ it shows &quot;Welcome back, Marco&quot;, but the dashboard is empty. I have already requested the required authorizations through ARMS. For some reason, I noticed that all my previous grants had disappeared, so I submitted the requests again. This morning I received the ARMS notification confirming that the authorizations had been granted."/>
    <x v="0"/>
    <s v="Medium"/>
    <s v="High"/>
    <d v="2026-07-14T13:09:00"/>
    <s v="PL_TOOLS"/>
    <x v="0"/>
    <d v="2026-07-16T12:10:00"/>
    <x v="0"/>
    <m/>
    <m/>
  </r>
  <r>
    <n v="11237487"/>
    <s v="Incidents from Remediation"/>
    <s v="EMEA &gt; PROD &gt; KDL &gt; PL_TOOLS"/>
    <x v="0"/>
    <x v="1"/>
    <s v="LukÃ¡Å¡ PernickÃ½"/>
    <x v="54"/>
    <s v="Medium"/>
    <m/>
    <s v="PLATFORM TOOLS - BASIC DETAILS 1) SHORT DESCRIPTION: Incidents from Remediation 2) DESCRIPTION OF REQUEST: Hello, we need some information about the Remediation metric. After how long do incidents stop showing in our metric? We have some incidents from Aprill that are still visible. 3) CAPABILITY/TOOL: Integrated AIOps (AIOPS) 4) KYNDRYL BRIDGE CUSTOMER FOR AIOPS LOOKUP (IF KNOWN): Kyndryl Shared Management Mainframe - wwm (BAC8209010-IT) es.ams1 5) ORG MARKET: Italy 6) ADDITIONAL DETAILS: 7) NOTIFY: 8) ATTACHMENTS (EVIDENCE, SCREENSHOTS, LOGS,ETC): Remediation with Corrective Closure 13.07.2026.xlsx PLATFORM TOOLS - INTEGRATED AIOPS (AIOPS) DETAILS 1) AIOPS LOCATION: Integrated AIOPs - EU 2) AIOPS INSTANCE: Europe 3) TYPE OF REQUEST: AIOPS - General Request"/>
    <x v="0"/>
    <s v="Medium"/>
    <s v="Medium"/>
    <d v="2026-07-15T12:05:00"/>
    <s v="PL_TOOLS &gt; AIOPS"/>
    <x v="1"/>
    <d v="2026-07-16T12:01:00"/>
    <x v="0"/>
    <m/>
    <m/>
  </r>
  <r>
    <n v="11241830"/>
    <s v="op3#ama-logs#Cleared and Re-fired: P-260732448-Out-of-memory kills have been observed for pods of th"/>
    <s v="EMEA &gt; PROD &gt; KDL &gt; PL_TOOLS"/>
    <x v="1"/>
    <x v="2"/>
    <m/>
    <x v="16"/>
    <s v="Medium"/>
    <m/>
    <s v="Business Service: Integrated AIOps (AIOPS) Capability Tool: Integrated AIOPs - Americas -------------------------------------------- FirstOccurrence: 2026-07-16 05:16:20 Summary: Cleared and Re-fired: P-260732448-Out-of-memory kills have been observed for pods of this workload. Severity: Major ResourceId: ama-logs ServerSerial: 10511464 ServerName: NCO_PRI CustomerCode: op3 InstanceSituation: Out-of-memory kills URL: https://arg88263.live.dynatrace.com/#problems/problemdetails;pid=8901853518591375795_1784178780000V2 NodeAlias: {Tags[IP]} ComponentType: {Tags[OS]} OSType: AlertKey: Out-of-memory kills TicketGroup: K-PLTools-AIOPs-Americas-Delivery-Support"/>
    <x v="0"/>
    <s v="Medium"/>
    <s v="Medium"/>
    <d v="2026-07-16T11:56:00"/>
    <s v="Inquiry / Help"/>
    <x v="0"/>
    <d v="2026-07-16T11:56:00"/>
    <x v="4"/>
    <m/>
    <m/>
  </r>
  <r>
    <n v="11239831"/>
    <s v="Need AP, IN, JP Kibana Prod Read only Access for Self Service Enablement activities."/>
    <s v="EMEA &gt; PROD &gt; KDL &gt; PL_TOOLS"/>
    <x v="2"/>
    <x v="6"/>
    <s v="PUTTA SANJANA"/>
    <x v="55"/>
    <s v="Medium"/>
    <m/>
    <s v="PLATFORM TOOLS - BASIC DETAILS 1) SHORT DESCRIPTION: Need AP, IN, JP Kibana Prod Read only Access for Self Service Enablement activities. 2) DESCRIPTION OF REQUEST: To support self - service enablement program need read access to all the namespaces for AP, IN, JP Prod Kibana read only access to all the stack management features mentioned below Index Management Index Lifecycle Policies Transforms Data Views Saved Objects 3) CAPABILITY/TOOL: Integrated AIOps (AIOPS) 4) KYNDRYL BRIDGE CUSTOMER FOR AIOPS LOOKUP (IF KNOWN): Demo AIOps Presales Australia - d3p (BAC9509010-AU) es.syd1 5) ORG MARKET: ANZ 6) ADDITIONAL DETAILS: To support self - service enablement program need read access to all the namespaces for AP, IN, JP Prod Kibana read only access to all the stack management features mentioned below Index Management Index Lifecycle Policies Transforms Data Views Saved Objects 7) NOTIFY: PLATFORM TOOLS - INTEGRATED AIOPS (AIOPS) DETAILS 1) AIOPS LOCATION: Integrated AIOPs - AP 2) AIOPS INSTANCE: Asia Pacific 3) TYPE OF REQUEST: AIOPS - General Request"/>
    <x v="0"/>
    <s v="Medium"/>
    <s v="Medium"/>
    <d v="2026-07-15T20:53:00"/>
    <s v="PL_TOOLS &gt; AIOPS"/>
    <x v="1"/>
    <d v="2026-07-16T11:47:00"/>
    <x v="4"/>
    <m/>
    <m/>
  </r>
  <r>
    <n v="11221808"/>
    <s v="ACME Prod sync between KIS and ES Index not working"/>
    <s v="EMEA &gt; PROD &gt; KDL &gt; PL_TOOLS"/>
    <x v="2"/>
    <x v="5"/>
    <s v="Nazeefa Rajakumar Patil"/>
    <x v="56"/>
    <s v="Medium"/>
    <m/>
    <s v="PLATFORM TOOLS - BASIC DETAILS 1) CAPABILITY/TOOL: Integrated AIOps (AIOPS) 2) SHORT DESCRIPTION: ACME Prod sync between KIS and ES Index not working 3) DESCRIPTION OF ISSUE: ACME Prod sync between KIS and ES Index not working: Added new network devices into kyndryl inventory system but thats not reflecting after 50hrs also. 4) KYNDRYL BRIDGE CUSTOMER FOR AIOPS LOOKUP (IF KNOWN): International Traders ACME - ace (BAC000ACME) es.ams1 5) WATCH LIST: Srinivasan Raman 6) REPORTED PRIORITY: P2 - High (Sev2) 7) ADDITIONAL DETAILS: Offering team need to show demo during customer meeting PLATFORM TOOLS - INTEGRATED AIOPS (AIOPS) DETAILS 1) AIOPS LOCATION: Integrated AIOPs - ACME 2) AIOPS DATA PLANE: 3) WHERE ON THE WEB PAGE IS THE ISSUE LOCATED?: Home &gt; Header &gt; Automation &gt; Inventory 4) WHAT SUBCATEGORY OF THE LOCATION IS THE ISSUE RELATED TO?: Inventory 5) URL OF THE WEB PAGE DISPLAYING THE ISSUE: https://765a4a306f64.1.account.delivery.kyndryl.net/api/insights/v1/es/default/proxy/delivery.inventory.common-data*/_search 6) WHAT IS THE ISSUE?: Component failure"/>
    <x v="0"/>
    <s v="High"/>
    <s v="Medium"/>
    <d v="2026-07-10T13:53:00"/>
    <s v="PL_TOOLS &gt; AIOPS"/>
    <x v="0"/>
    <d v="2026-07-16T10:38:00"/>
    <x v="2"/>
    <m/>
    <m/>
  </r>
  <r>
    <n v="11234279"/>
    <s v="In the AIOPs BPS dashboard, we are unable to generate Last 24 hours report"/>
    <s v="EMEA &gt; PROD &gt; KDL &gt; PL_TOOLS"/>
    <x v="2"/>
    <x v="2"/>
    <s v="Sneha ."/>
    <x v="57"/>
    <s v="Low"/>
    <m/>
    <s v="PLATFORM TOOLS - BASIC DETAILS 1) CAPABILITY/TOOL: Integrated AIOps (AIOPS) 2) SHORT DESCRIPTION: In the AIOPs BPS dashboard, we are unable to generate Last 24 hours report 3) DESCRIPTION OF ISSUE: In the AIOPs BPS dashboard, we are unable to generate Last 24 hours report. From last 2 days, we are getting below count. Please find the below screenshot for more information 4) KYNDRYL BRIDGE CUSTOMER FOR AIOPS LOOKUP (IF KNOWN): Kaiser Permanente - kph, kpt, kp2 (BAC0000A78-US) es.was1 5) ORG MARKET: US Shared 6) WATCH LIST: 7) REPORTED PRIORITY: P4 - Low (Sev4) 8) ADDITIONAL DETAILS: 9) ATTACHMENTS (EVIDENCE, SCREENSHOTS, LOGS,ETC): BPS-Last 24hours.jpg PLATFORM TOOLS - INTEGRATED AIOPS (AIOPS) DETAILS 1) AIOPS LOCATION: Integrated AIOPs - NA 2) AIOPS INSTANCE: Americas 3) AIOPS DATA PLANE: 4) WHERE ON THE WEB PAGE IS THE ISSUE LOCATED?: Home &gt; Header &gt; Insights &gt; Dashboards 5) WHAT SUBCATEGORY OF THE LOCATION IS THE ISSUE RELATED TO?: Best Practice 6) URL OF THE WEB PAGE DISPLAYING THE ISSUE: 7) WHAT IS THE ISSUE?: Incorrect data"/>
    <x v="2"/>
    <s v="Low"/>
    <s v="Low"/>
    <d v="2026-07-14T16:56:00"/>
    <s v="PL_TOOLS &gt; AIOPS"/>
    <x v="0"/>
    <d v="2026-07-16T10:30:00"/>
    <x v="0"/>
    <m/>
    <m/>
  </r>
  <r>
    <n v="11241564"/>
    <s v="Need AP, IN, JP Kibana Read Access for Self Service activities. Please provide the access. Thank you"/>
    <s v="EMEA &gt; PROD &gt; KDL &gt; PL_TOOLS"/>
    <x v="0"/>
    <x v="6"/>
    <s v="Siva Muthyala"/>
    <x v="58"/>
    <s v="Medium"/>
    <m/>
    <s v="PLATFORM TOOLS - BASIC DETAILS 1) SHORT DESCRIPTION: Need AP, IN, JP Kibana Read Access for Self Service activities. Please provide the access. Thank you 2) DESCRIPTION OF REQUEST: Hi Team, To support selfservice enablement program need read access to all the namespaces for AP, IN, JP Kibana. also need read access to all the stack management features mentioned below Index Management Index Lifecycle Policies Transforms Data Views Saved Objects 3) CAPABILITY/TOOL: Integrated AIOps (AIOPS) 4) KYNDRYL BRIDGE CUSTOMER FOR AIOPS LOOKUP (IF KNOWN): ADAI Managed Apps - BRENNTAG PTE LTD - bap (BAC0003426-SG) es.syd1 5) ORG MARKET: ANZ 6) ADDITIONAL DETAILS: Hi Team, To support selfservice enablement program need read access to all the namespaces for AP, IN, JP Kibana. also need read access to all the stack management features mentioned below Index Management Index Lifecycle Policies Transforms Data Views Saved Objects 7) NOTIFY: PLATFORM TOOLS - INTEGRATED AIOPS (AIOPS) DETAILS 1) AIOPS LOCATION: Integrated AIOPs - AP 2) AIOPS INSTANCE: Asia Pacific 3) TYPE OF REQUEST: AIOPS - General Request"/>
    <x v="0"/>
    <s v="Medium"/>
    <s v="Medium"/>
    <d v="2026-07-16T10:21:00"/>
    <s v="PL_TOOLS &gt; AIOPS"/>
    <x v="1"/>
    <d v="2026-07-16T10:26:00"/>
    <x v="4"/>
    <m/>
    <m/>
  </r>
  <r>
    <n v="11239725"/>
    <s v="AP shared Netbox instance not accessible - needs to bring up and configure to ensure instance is ready for NIAS feature"/>
    <s v="EMEA &gt; PROD &gt; KDL &gt; PL_TOOLS"/>
    <x v="0"/>
    <x v="6"/>
    <s v="SRINIVASA YALAMARTI"/>
    <x v="59"/>
    <s v="Medium"/>
    <m/>
    <s v="AP shared Netbox instance not accessible - needs to bring up and configure to ensure instance is ready for NIAS feature This ticket needs to be assigned to Srinivasa.Yalamarti@kyndryl.com as he has access to AP AIOps cluster We need to perform following: 1. Ensure all PODS related to AP shared netbox instance are up and running 2. Ensure Instance is accessible via Netbox URL and if not, reset admin and super user password 3. Create API key and configure this API key from gateway POD in the regional vault Netbox Instance Info: AP Shared Sydney syd1 https://cc3bb94a8336.1.account.delivery.kyndryl.net/network-service--netbox \https://cc3bb94a8336.1.account.delivery.kyndryl.net/network-service--netbox"/>
    <x v="0"/>
    <s v="Medium"/>
    <s v="Medium"/>
    <d v="2026-07-15T20:23:00"/>
    <s v="PL_TOOLS"/>
    <x v="0"/>
    <d v="2026-07-16T09:38:00"/>
    <x v="0"/>
    <m/>
    <m/>
  </r>
  <r>
    <n v="11203347"/>
    <s v="Request to review and update approver assignments for Japan Network Hub"/>
    <s v="EMEA &gt; PROD &gt; KDL &gt; PL_TOOLS"/>
    <x v="2"/>
    <x v="3"/>
    <s v="Syeda Nasreen"/>
    <x v="60"/>
    <s v="Medium"/>
    <m/>
    <s v="PLATFORM TOOLS - BASIC DETAILS 1) SHORT DESCRIPTION: Request to review and update approver assignments for Japan Network Hub 2) DESCRIPTION OF REQUEST: Business Need / Justification I am a Delivery Partner (DP) for Japan Network Hub and require approver access to manage access requests related to the account. I am currently listed as an approver for some access groups under Japan Network Hub (OU: 7b8e3989f30f.1), however I am unable to view or approve certain requests in the ARMS approver queue. As a DP, I need visibility and approval capability for the required access groups supporting Japan Network Hub operations. Job Title / Description Associate Director, Project Management Delivery Partner (DP) - Japan Network Hub Type of work to be performed Please review and update approver assignments for CNUM 004231760 (YOSHIMASA OHMURA) under Japan Network Hub (OU: 7b8e3989f30f.1). Requested actions: - Review current approver assignments - Identify any missing approver permissions - Add required approver permissions for Japan Network Hub - Confirm the complete list of access groups for which I am registered as approver Current issue: Some access requests are not visible in my ARMS approver queue although I am listed as an approver for several access groups. 3) CAPABILITY/TOOL: Integrated AIOps (AIOPS) 4) KYNDRYL BRIDGE CUSTOMER FOR AIOPS LOOKUP (IF KNOWN): Kyndryl I-AIOps Japan - xx2 (BAC00039DD-JP) es.jpn1 5) ORG MARKET: Japan 6) ADDITIONAL DETAILS: OU Name: Japan Network Hub OU ID: 7b8e3989f30f.1 Name: YOSHIMASA OHMURA CNUM: 004231760 Role: Delivery Partner (DP) Current status: Listed as approver for several access groups, but some requests are not visible in the ARMS approver queue. Request: Please review and update my approver assignments for Japan Network Hub and ensure appropriate approver access is granted based on my DP responsibilities. Attached: Screenshot of current approver assignments. 7) NOTIFY: 8) ATTACHMENTS (EVIDENCE, SCREENSHOTS, LOGS,ETC): Screenshot 2026-07-06 at 11-19-13 ARMS â€“ Automated Role Management System.png PLATFORM TOOLS - INTEGRATED AIOPS (AIOPS) DETAILS 1) AIOPS LOCATION: Integrated AIOPs - JP 2) AIOPS INSTANCE: Japan 3) TYPE OF REQUEST: AIOPS - ARMS"/>
    <x v="0"/>
    <s v="Medium"/>
    <s v="Medium"/>
    <d v="2026-07-06T08:06:00"/>
    <s v="PL_TOOLS &gt; AIOPS"/>
    <x v="1"/>
    <d v="2026-07-16T09:06:00"/>
    <x v="1"/>
    <m/>
    <m/>
  </r>
  <r>
    <n v="11230831"/>
    <s v="Please change DPE for the account HM4, HM1 and HMO"/>
    <s v="EMEA &gt; PROD &gt; KDL &gt; PL_TOOLS"/>
    <x v="2"/>
    <x v="6"/>
    <s v="Syeda Nasreen"/>
    <x v="61"/>
    <s v="Medium"/>
    <m/>
    <s v="PLATFORM TOOLS - BASIC DETAILS 1) SHORT DESCRIPTION: Please change DPE for the account HM4, HM1 and HMO 2) DESCRIPTION OF REQUEST: It seems requests for HMCL (Hero Motocorp Limited) is going to Geeta Batra. Geeta is now moved to different account and different role. I am now managing DPE functions for HMCL. Please transfer Geeta Batra's administrative roles to me 3) CAPABILITY/TOOL: Integrated AIOps (AIOPS) 4) KYNDRYL BRIDGE CUSTOMER FOR AIOPS LOOKUP (IF KNOWN): Hero MotoCorp Ltd - hm4 (BAC7E90000-IN) es.che1 5) ORG MARKET: India 6) ADDITIONAL DETAILS: 7) NOTIFY: GULATI ATUL PLATFORM TOOLS - INTEGRATED AIOPS (AIOPS) DETAILS 1) AIOPS LOCATION: Integrated AIOPs - AP 2) AIOPS INSTANCE: Asia Pacific 3) TYPE OF REQUEST: AIOPS - ARMS"/>
    <x v="0"/>
    <s v="Medium"/>
    <s v="Medium"/>
    <d v="2026-07-13T20:07:00"/>
    <s v="PL_TOOLS &gt; AIOPS"/>
    <x v="1"/>
    <d v="2026-07-16T09:00:00"/>
    <x v="5"/>
    <m/>
    <m/>
  </r>
  <r>
    <n v="11241210"/>
    <s v="Unable to use AIOps Automation Service"/>
    <s v="EMEA &gt; PROD &gt; KDL &gt; PL_TOOLS"/>
    <x v="0"/>
    <x v="3"/>
    <s v="Mounika Reddy Vemula"/>
    <x v="62"/>
    <s v="Medium"/>
    <m/>
    <s v="PLATFORM TOOLS - BASIC DETAILS 1) CAPABILITY/TOOL: Integrated AIOps (AIOPS) 2) SHORT DESCRIPTION: Unable to use AIOps Automation Service 3) DESCRIPTION OF ISSUE: The Automation page is not functioning in AIOps. I believe the permissions and requests are in place, but the relevant Automation page continues to be not functioning. (Please check the attachment for AIOps_Automation_pagefailure.png) We cannot determine whether this is an issue on the AIOps side or due to insufficient applications. We apologize for the inconvenience, but please confirm this issue. 4) KYNDRYL BRIDGE CUSTOMER FOR AIOPS LOOKUP (IF KNOWN): T&amp;I - ti4 (BAC0002EC0-JP) es.jpn1 5) ORG MARKET: Japan 6) WATCH LIST: 7) REPORTED PRIORITY: P2 - High (Sev2) 8) ADDITIONAL DETAILS: ãƒ»Various permissions applied for in ARMS have been completed. ãƒ»AIOps onboarding has been completed. 9) ATTACHMENTS (EVIDENCE, SCREENSHOTS, LOGS,ETC): AIOps_Automation_pagefailure.png, ARMS.png PLATFORM TOOLS - INTEGRATED AIOPS (AIOPS) DETAILS 1) AIOPS LOCATION: Integrated AIOPs - JP 2) AIOPS INSTANCE: Japan 3) AIOPS DATA PLANE: 4) WHERE ON THE WEB PAGE IS THE ISSUE LOCATED?: Home &gt; Header &gt; Automation &gt; Actions 5) WHAT SUBCATEGORY OF THE LOCATION IS THE ISSUE RELATED TO?: Automation 6) URL OF THE WEB PAGE DISPLAYING THE ISSUE: https://www.kyndryl.com/bridge/aiops/actions/ 7) WHAT IS THE ISSUE?: Other"/>
    <x v="0"/>
    <s v="High"/>
    <s v="Medium"/>
    <d v="2026-07-16T07:00:00"/>
    <s v="PL_TOOLS &gt; AIOPS"/>
    <x v="0"/>
    <d v="2026-07-16T07:10:00"/>
    <x v="4"/>
    <m/>
    <m/>
  </r>
  <r>
    <n v="11241160"/>
    <s v="data not updating on CEP dashboard 3"/>
    <s v="EMEA &gt; PROD &gt; KDL &gt; PL_TOOLS"/>
    <x v="0"/>
    <x v="3"/>
    <s v="Siva Muthyala"/>
    <x v="63"/>
    <s v="Low"/>
    <m/>
    <s v="PLATFORM TOOLS - BASIC DETAILS 1) CAPABILITY/TOOL: Integrated AIOps (AIOPS) 2) SHORT DESCRIPTION: data not updating on CEP dashboard 3 3) DESCRIPTION OF ISSUE: Hi. This is regarding the ticket which closed.. https://emea.glpi.kyndryl.com/index.php?redirect=ticket_11212139 The issue still exists. This account is not using inventory scanner since they're not onboarded on CACF. They've bulk uploaded the field but are not reflecting. Is there any extension issue? Thank you. 4) KYNDRYL BRIDGE CUSTOMER FOR AIOPS LOOKUP (IF KNOWN): Nissan Japan - nis (BAC00005B7-JP) es.jpn1 5) ORG MARKET: Japan 6) WATCH LIST: 7) REPORTED PRIORITY: P4 - Low (Sev4) 8) ADDITIONAL DETAILS: PLATFORM TOOLS - INTEGRATED AIOPS (AIOPS) DETAILS 1) AIOPS LOCATION: Integrated AIOPs - JP 2) AIOPS INSTANCE: Japan 3) AIOPS DATA PLANE: 4) WHERE ON THE WEB PAGE IS THE ISSUE LOCATED?: Home &gt; Header &gt; Insights &gt; Dashboards &gt; All Dashboards 5) WHAT SUBCATEGORY OF THE LOCATION IS THE ISSUE RELATED TO?: Computing Environment Profile (CEP) - 3.0 6) URL OF THE WEB PAGE DISPLAYING THE ISSUE: https://www.kyndryl.com/bridge/aiops/insights/dashboard/87403b08-f4f2-474b-8993-e79c33a31cc6/ 7) WHAT IS THE ISSUE?: Incorrect data"/>
    <x v="2"/>
    <s v="Low"/>
    <s v="Low"/>
    <d v="2026-07-16T06:43:00"/>
    <s v="PL_TOOLS &gt; AIOPS"/>
    <x v="0"/>
    <d v="2026-07-16T06:57:00"/>
    <x v="4"/>
    <m/>
    <m/>
  </r>
  <r>
    <n v="11240492"/>
    <s v="rey-dss-to-ado : oa1#rey-dss-to-ado#P-260729089-java.lang.NullPointerExceptionnull"/>
    <s v="EMEA &gt; PROD &gt; KDL &gt; PL_TOOLS"/>
    <x v="0"/>
    <x v="6"/>
    <s v="Trupti Uday Devadiga"/>
    <x v="16"/>
    <s v="Medium"/>
    <m/>
    <s v="Business Service: Integrated AIOps (AIOPS) Capability Tool: Integrated AIOPs - AP -------------------------------------------- FirstOccurrence: 2026-07-14 19:54:29 Summary: P-260729089-java.lang.NullPointerExceptionnull Severity: Major ResourceId: rey-dss-to-ado ServerSerial: 3285741 ServerName: NCO_PRI CustomerCode: oa1 InstanceSituation: Name: rey-dss-to-ado URL: https://arg88263.live.dynatrace.com/#problems/problemdetails;pid=3961021102205286540_1784058834222V2 InstanceId: InstanceSituation:Name: rey-dss-to-ado URL:https://arg88263.live.dynatrace.com/#problems/problemdetails;pid=3961021102205286540_1784058834222V2 Node:rey-dss-to-ado NodeAlias:{Tags[IP]} ComponentType:{Tags[OS]} OSType: AlertKey:Name: rey-dss-to-ado TicketGroup:K-PLTools-AIOPs-AP-Delivery-Support"/>
    <x v="0"/>
    <s v="Medium"/>
    <s v="Medium"/>
    <d v="2026-07-16T01:25:00"/>
    <s v="Inquiry / Help"/>
    <x v="0"/>
    <d v="2026-07-16T05:56:00"/>
    <x v="4"/>
    <m/>
    <m/>
  </r>
  <r>
    <n v="11206490"/>
    <s v="Unable to create Client Tool Mapping â€“ role/permission issue"/>
    <s v="EMEA &gt; PROD &gt; KDL &gt; PL_TOOLS"/>
    <x v="0"/>
    <x v="2"/>
    <s v="Ravi Vadapally"/>
    <x v="64"/>
    <s v="Medium"/>
    <m/>
    <s v="PLATFORM TOOLS - BASIC DETAILS 1) SHORT DESCRIPTION: Unable to create Client Tool Mapping â€“ role/permission issue 2) DESCRIPTION OF REQUEST: I am trying to create a new Client Tool Mapping in a newly provisioned account. However, despite having access to all the required roles, the system is preventing the operation. When attempting to create the mapping, I receive the following error message: &quot;Create client tool mapping failed!&quot; &quot;User does not have role to perform the operation. Please contact administrator.&quot; 3) CAPABILITY/TOOL: Integrated AIOps (AIOPS) 4) KYNDRYL BRIDGE CUSTOMER FOR AIOPS LOOKUP (IF KNOWN): Mi Banco - mib (BAC000377F-PE) es.was1 5) ORG MARKET: Strategic Markets 6) ADDITIONAL DETAILS: The account to request is: Del Segmt Name Del Segmt ID (BAC ID) GSMA Code GSMA Description AssetMgt ID Pacifico Seguros Peru DSG00000AE f1d Pacifico Seguros BAM58600A2 PE_PRIMA AFP DSG00000AB d40 PRIMA AFP BAM586009F Mibanco Peru BAC880B010 mip Mibanco Peru BAME1A7000 7) NOTIFY: Huamancaja Michael, Boulangger Joan Manuel, TORRES LOPEZ JESUS, Cajahuaman Maldonado Solange 8) ATTACHMENTS (EVIDENCE, SCREENSHOTS, LOGS,ETC): Approval_JulioLeon.pdf PLATFORM TOOLS - INTEGRATED AIOPS (AIOPS) DETAILS 1) AIOPS LOCATION: Integrated AIOPs - NA 2) AIOPS INSTANCE: Americas 3) TYPE OF REQUEST: AIOPS - Client Tool Mapping"/>
    <x v="0"/>
    <s v="Medium"/>
    <s v="Medium"/>
    <d v="2026-07-07T00:58:00"/>
    <s v="PL_TOOLS &gt; AIOPS"/>
    <x v="1"/>
    <d v="2026-07-16T03:33:00"/>
    <x v="2"/>
    <m/>
    <m/>
  </r>
  <r>
    <n v="11104169"/>
    <s v="PL_Tools Request - Integrated AIOps (AIOPS)"/>
    <s v="EMEA &gt; PROD &gt; KDL &gt; PL_TOOLS"/>
    <x v="0"/>
    <x v="2"/>
    <s v="Jagadeesh Ponnaganti"/>
    <x v="51"/>
    <s v="Medium"/>
    <m/>
    <s v="PLATFORM TOOLS - AIOPS REQUEST DETAILS 1) CAPABILITY/TOOL: Integrated AIOps (AIOPS) 2) ORG UNIT: Commercial Shared 3) POOL NAME: SNI Shared Comm Infra 4) ATTACH THE CSI TEMPLATE RECEIVED FROM THE MAILBOX: New Pool Creation Template_SNI SCI.xlsx 5) INSTANCE (DATA PLANE): was1 (US) 6) AIOPS LOCATION: Integrated AIOPs - NA 7) POD COUNTRY OR PRACTICE: Network Practice 8) POD NAME: US-Country Shared-Network &amp; Edge 9) POD OWNER EMAIL: dcalvoro@kyndryl.com 10) BAC BAM GSMA DETAILS: BAC, BAM and GSMA.xlsx 11) PRIMARY BAC: BAC0000ED1 ACCOUNT CONTACT DETAILS 1) PRIMARY BAC OWNER (DEFAULT POOL OWNER/ ARMS APPROVER) EMAIL ID: Lance.Lobdell@kyndryl.com 2) ADDITIONAL ACCOUNT ADMIN (ARMS APPROVER 1) EMAIL ID: dstorti1@kyndryl.com 3) ADDITIONAL ACCOUNT ADMIN (ARMS APPROVER 2) EMAIL ID: Marisa.Carver@kyndryl.com 4) POOL SRE EMAIL ID: Bernal.Gutierrez.Quesada@kyndryl.com 5) APPROVAL EMAIL ATTACHMENT: New OU Creation on AIOPS for SNI_DPE Approval_BPM screenshot.pdf TOOL MAPPING 1) IPC TOOL: GLPI 2) EVENT MANAGEMENT TOOL: Shared Netcool 3) CACF ONBOARDING: GSMAs marked Yes above 4) DO YOU HAVE MAINFRAME (POOL LEVEL): No PLATFORM TOOLS - ADDITIONAL INFORMATION 1) NOTIFY: 2) ADDITIONAL DETAILS: The POOL GCS - N&amp;E â€“ GSNI, USA (GCSNNWCUS-GSNI) is already created, we just need to onboard it on AIOPS. BAC BAM GSMA BAC0000ED1 BAM0000695 S1F"/>
    <x v="0"/>
    <s v="Medium"/>
    <s v="Medium"/>
    <d v="2026-06-09T20:41:00"/>
    <s v="PL_TOOLS &gt; AIOPS"/>
    <x v="1"/>
    <d v="2026-07-16T03:07:00"/>
    <x v="6"/>
    <m/>
    <m/>
  </r>
  <r>
    <n v="11240729"/>
    <s v="AIOps ThreatCon Insight Dashboard Outdated"/>
    <s v="EMEA &gt; PROD &gt; KDL &gt; PL_TOOLS"/>
    <x v="1"/>
    <x v="0"/>
    <m/>
    <x v="52"/>
    <s v="Medium"/>
    <m/>
    <s v="PLATFORM TOOLS - BASIC DETAILS 1) CAPABILITY/TOOL: Integrated AIOps (AIOPS) 2) SHORT DESCRIPTION: AIOps ThreatCon Insight Dashboard Outdated 3) DESCRIPTION OF ISSUE: The ThreatCon Insights dashboard in AIOps is currently out of date and has not displayed any updates since JULY 1ST. As a result, the dashboard has gone 14 DAYS WITHOUT BEING REFRESHED, despite the fact that SEVEN NEW THREATCON ALERTS HAVE BEEN ISSUED DURING THIS PERIOD. This dashboard serves as the primary source of information used during meetings with Account Leads and account administrators to review threat exposure and required actions for all accounts in Mexico. Given that the data is no longer current, the information presented cannot be considered reliable, which creates a risk of incomplete situational awareness and could impact decision-making and prioritization efforts. We would appreciate an urgent review of this issue and the restoration of regular updates to ensure the dashboard remains an accurate and trusted source for ThreatCon reporting and customer discussions. 4) KYNDRYL BRIDGE CUSTOMER FOR AIOPS LOOKUP (IF KNOWN): SDC Mexico Infrastructure. - sd2 (BAC00039C0-MX) es.was1 5) ORG MARKET: Strategic Markets 6) WATCH LIST: REYNAGA JACQUELINA ANGELICA, Morales Fernando Adrian 7) REPORTED PRIORITY: P2 - High (Sev2) 8) ADDITIONAL DETAILS: I was unable to locate the THREATCON INSIGHTS path among the available options, so I added it manually to ensure the request was submitted correctly. Additionally, I have attached an image showing the THREATCON INSIGHTS PATH for reference and validation Home / Header / Insight / Dashboards / Transformation Management / Threatcon Insight This issue is affecting ALL ACCOUNTS ACROSS MEXICO. Since there was no option available to select all impacted accounts, I selected SDC MEXICO for ticket submission purposes. However, the reported issue should be treated as a GLOBAL IMPACT ACROSS THE MEXICO PORTFOLIO, as the problem is not limited to a single account. 9) ATTACHMENTS (EVIDENCE, SCREENSHOTS, LOGS,ETC): Threatcon insight path.png, Threatcon insight.png PLATFORM TOOLS - INTEGRATED AIOPS (AIOPS) DETAILS 1) AIOPS LOCATION: Integrated AIOPs - Global 2) AIOPS INSTANCE: Global 3) AIOPS DATA PLANE: Home / Header / Insight / Dashboards / Transformation Management / Threatcon Insight 4) WHERE ON THE WEB PAGE IS THE ISSUE LOCATED?: Home &gt; Header &gt; Insights &gt; Dashboards 5) WHAT SUBCATEGORY OF THE LOCATION IS THE ISSUE RELATED TO?: Dashboard 6) URL OF THE WEB PAGE DISPLAYING THE ISSUE: https://www.kyndryl.com/bridge/aiops/insights/dashboard/0f1aeb5f-f800-44d1-9c07-328cfb2ae61f/ 7) WHAT IS THE ISSUE?: Missing data"/>
    <x v="1"/>
    <s v="High"/>
    <s v="High"/>
    <d v="2026-07-16T03:03:00"/>
    <s v="PL_TOOLS &gt; AIOPS"/>
    <x v="0"/>
    <d v="2026-07-16T03:03:00"/>
    <x v="4"/>
    <m/>
    <m/>
  </r>
  <r>
    <n v="11210663"/>
    <s v="Configuration of a Client tool Mapping for GOA (MAHS) Account"/>
    <s v="EMEA &gt; PROD &gt; KDL &gt; PL_TOOLS"/>
    <x v="0"/>
    <x v="2"/>
    <s v="Ravi Vadapally"/>
    <x v="65"/>
    <s v="Medium"/>
    <m/>
    <s v="PLATFORM TOOLS - BASIC DETAILS 1) SHORT DESCRIPTION: Configuration of a Client tool Mapping for GOA (MAHS) Account 2) DESCRIPTION OF REQUEST: Team requires assistance in configuring a client tool mapping in AIOPS for Service Now change and incident data. 3) CAPABILITY/TOOL: Integrated AIOps (AIOPS) 4) KYNDRYL BRIDGE CUSTOMER FOR AIOPS LOOKUP (IF KNOWN): Government of Alberta - MAHS - goa (BAC0000A03-CA) es.tor1 5) ORG MARKET: Strategic Markets 6) ADDITIONAL DETAILS: 7) NOTIFY: PLATFORM TOOLS - INTEGRATED AIOPS (AIOPS) DETAILS 1) AIOPS LOCATION: Integrated AIOPs - NA 2) AIOPS INSTANCE: Americas 3) TYPE OF REQUEST: AIOPS - Client Tool Mapping"/>
    <x v="0"/>
    <s v="Medium"/>
    <s v="Medium"/>
    <d v="2026-07-07T19:39:00"/>
    <s v="PL_TOOLS &gt; AIOPS"/>
    <x v="1"/>
    <d v="2026-07-16T01:11:00"/>
    <x v="2"/>
    <m/>
    <m/>
  </r>
  <r>
    <n v="11223687"/>
    <s v="Bring your own data permission"/>
    <s v="EMEA &gt; PROD &gt; KDL &gt; PL_TOOLS"/>
    <x v="0"/>
    <x v="2"/>
    <s v="Ravi Vadapally"/>
    <x v="66"/>
    <s v="Medium"/>
    <m/>
    <s v="PLATFORM TOOLS - BASIC DETAILS 1) SHORT DESCRIPTION: Bring your own data permission 2) DESCRIPTION OF REQUEST: I need the &quot;selfservice-admin&quot; role to upload incidents via BYOD 3) CAPABILITY/TOOL: Integrated AIOps (AIOPS) 4) KYNDRYL BRIDGE CUSTOMER FOR AIOPS LOOKUP (IF KNOWN): GRUPO ARGOS Celsia - cp9 (BAC0002535-CO) es.was1 5) ORG MARKET: Strategic Markets 6) ADDITIONAL DETAILS: 7) NOTIFY: PLATFORM TOOLS - INTEGRATED AIOPS (AIOPS) DETAILS 1) AIOPS LOCATION: Integrated AIOPs - NA 2) AIOPS INSTANCE: Americas 3) TYPE OF REQUEST: AIOPS - General Request"/>
    <x v="0"/>
    <s v="Medium"/>
    <s v="Medium"/>
    <d v="2026-07-11T02:43:00"/>
    <s v="PL_TOOLS &gt; AIOPS"/>
    <x v="1"/>
    <d v="2026-07-16T01:10:00"/>
    <x v="2"/>
    <m/>
    <m/>
  </r>
  <r>
    <n v="11044759"/>
    <s v="PL_Tools Request - Integrated AIOps (AIOPS)"/>
    <s v="EMEA &gt; PROD &gt; KDL &gt; PL_TOOLS"/>
    <x v="0"/>
    <x v="2"/>
    <s v="Ravi Vadapally"/>
    <x v="67"/>
    <s v="Medium"/>
    <m/>
    <s v="PLATFORM TOOLS - BASIC DETAILS 1) SHORT DESCRIPTION: Cannot upload Bussines Service Insight 2) DESCRIPTION OF REQUEST: Cannot upload Business Service Insight Template due to an unspecified error. 3) CAPABILITY/TOOL: Integrated AIOps (AIOPS) 4) KYNDRYL BRIDGE CUSTOMER FOR AIOPS LOOKUP (IF KNOWN): *Not a customer account / not found 5) ORG MARKET: Strategic Markets 6) ADDITIONAL DETAILS: 7) NOTIFY: Riccardi Nicolas, Ramos Sebastian Adolfo, Sina Sotomayor Victor Andres 8) ATTACHMENTS (EVIDENCE, SCREENSHOTS, LOGS,ETC): AIOPS_BYOData_Template_Business Service Insights_20260520 2.csv PLATFORM TOOLS - INTEGRATED AIOPS (AIOPS) DETAILS 1) AIOPS LOCATION: Integrated AIOPs - NA 2) AIOPS INSTANCE: Americas 3) TYPE OF REQUEST: AIOPS - BYOD"/>
    <x v="0"/>
    <s v="Medium"/>
    <s v="Medium"/>
    <d v="2026-05-25T18:11:00"/>
    <s v="PL_TOOLS &gt; AIOPS"/>
    <x v="1"/>
    <d v="2026-07-16T01:10:00"/>
    <x v="6"/>
    <m/>
    <m/>
  </r>
  <r>
    <n v="11206471"/>
    <s v="Unable to create Client Tool Mapping â€“ role/permission issue"/>
    <s v="EMEA &gt; PROD &gt; KDL &gt; PL_TOOLS"/>
    <x v="0"/>
    <x v="2"/>
    <s v="Ravi Vadapally"/>
    <x v="64"/>
    <s v="Medium"/>
    <m/>
    <s v="PLATFORM TOOLS - BASIC DETAILS 1) SHORT DESCRIPTION: Unable to create Client Tool Mapping â€“ role/permission issue 2) DESCRIPTION OF REQUEST: Hello team, I am trying to create a new Client Tool Mapping in a newly provisioned account. However, despite having access to all the required roles, the system is preventing the operation. When attempting to create the mapping, I receive the following error message: &quot;Create client tool mapping failed!&quot; &quot;User does not have role to perform the operation. Please contact administrator.&quot; 3) CAPABILITY/TOOL: Integrated AIOps (AIOPS) 4) KYNDRYL BRIDGE CUSTOMER FOR AIOPS LOOKUP (IF KNOWN): Mi Banco - mib (BAC000377F-PE) es.was1 5) ORG MARKET: Strategic Markets 6) ADDITIONAL DETAILS: The account to request is: Del Segmt Name Del Segmt ID (BAC ID) GSMA Code GSMA Description AssetMgt ID Grupo Credito S.A. DSG00000B8 76f Grupo Credito S.A. BAM58600AA 7) NOTIFY: Huamancaja Michael, Boulangger Joan Manuel, Cajahuaman Maldonado Solange, TORRES LOPEZ JESUS 8) ATTACHMENTS (EVIDENCE, SCREENSHOTS, LOGS,ETC): Approval_grupo_credito.pdf PLATFORM TOOLS - INTEGRATED AIOPS (AIOPS) DETAILS 1) AIOPS LOCATION: Integrated AIOPs - NA 2) AIOPS INSTANCE: Americas 3) TYPE OF REQUEST: AIOPS - Client Tool Mapping"/>
    <x v="0"/>
    <s v="Medium"/>
    <s v="Medium"/>
    <d v="2026-07-07T00:53:00"/>
    <s v="PL_TOOLS &gt; AIOPS"/>
    <x v="1"/>
    <d v="2026-07-16T01:09:00"/>
    <x v="2"/>
    <m/>
    <m/>
  </r>
  <r>
    <n v="11188790"/>
    <s v="Update OU to ph0 and remove the poh OU"/>
    <s v="EMEA &gt; PROD &gt; KDL &gt; PL_TOOLS"/>
    <x v="0"/>
    <x v="2"/>
    <s v="Ravi Vadapally"/>
    <x v="68"/>
    <s v="Medium"/>
    <m/>
    <s v="PLATFORM TOOLS - BASIC DETAILS 1) SHORT DESCRIPTION: Update OU to ph0 and remove the poh OU 2) DESCRIPTION OF REQUEST: Please update post holding OU to ph0. poh is the old GSMA code, it may be removed. 3) CAPABILITY/TOOL: Integrated AIOps (AIOPS) 4) KYNDRYL BRIDGE CUSTOMER FOR AIOPS LOOKUP (IF KNOWN): ADAI Managed Apps - Post Holdings Inc - poh (BAC0000EA7-US) es.was1 5) ORG MARKET: USA 6) ADDITIONAL DETAILS: 7) NOTIFY: 8) ATTACHMENTS (EVIDENCE, SCREENSHOTS, LOGS,ETC): image (60).png PLATFORM TOOLS - INTEGRATED AIOPS (AIOPS) DETAILS 1) AIOPS LOCATION: Integrated AIOPs - NA 2) AIOPS INSTANCE: Americas 3) TYPE OF REQUEST: AIOPS - OU Update"/>
    <x v="0"/>
    <s v="Medium"/>
    <s v="Medium"/>
    <d v="2026-07-01T19:49:00"/>
    <s v="PL_TOOLS &gt; AIOPS"/>
    <x v="1"/>
    <d v="2026-07-16T01:08:00"/>
    <x v="3"/>
    <m/>
    <m/>
  </r>
  <r>
    <n v="11239577"/>
    <s v="VMI dashboard and Aged Open Vulnerabilities issue"/>
    <s v="EMEA &gt; PROD &gt; KDL &gt; PL_TOOLS"/>
    <x v="0"/>
    <x v="2"/>
    <s v="NOORUDDIN MOHD"/>
    <x v="69"/>
    <s v="Medium"/>
    <m/>
    <s v="PLATFORM TOOLS - BASIC DETAILS 1) CAPABILITY/TOOL: Integrated AIOps (AIOPS) 2) SHORT DESCRIPTION: VMI dashboard and Aged Open Vulnerabilities issue 3) DESCRIPTION OF ISSUE: Are accounts on WAS1 having issues with VMI? Checking across multiple mainframe-only accounts here's what I have experienced in the last 24 hours: Yesterday - Aged Open Vulnerabilities widget on F1 showed 0%, even though VMI showed hundreds of vulnerabilities &gt;91 days. Today - Aged Open Vulnerabilities widget shows the correct percentage on the F1, but VMI is missing all the data! See the attached screenshots. Accounts in other data planes (ACME, EU1) appear to be working ok. I reproduced the issue with both Edge and Firefox. 4) KYNDRYL BRIDGE CUSTOMER FOR AIOPS LOOKUP (IF KNOWN): Meijer - mjr (BAC0002E92-US) es.was1 5) ORG MARKET: US Shared 6) WATCH LIST: 7) REPORTED PRIORITY: P3 - Medium (Sev3) 8) ADDITIONAL DETAILS: 9) ATTACHMENTS (EVIDENCE, SCREENSHOTS, LOGS,ETC): Screenshot 2026-07-15 at 7.17.54â€¯AM.png, Screenshot 2026-07-15 at 7.31.59â€¯AM.png PLATFORM TOOLS - INTEGRATED AIOPS (AIOPS) DETAILS 1) AIOPS LOCATION: Integrated AIOPs - NA 2) AIOPS INSTANCE: Americas 3) AIOPS DATA PLANE: 4) WHERE ON THE WEB PAGE IS THE ISSUE LOCATED?: Home &gt; Header &gt; Insights &gt; Dashboards 5) WHAT SUBCATEGORY OF THE LOCATION IS THE ISSUE RELATED TO?: Security Patch Management 6) URL OF THE WEB PAGE DISPLAYING THE ISSUE: https://www.kyndryl.com/bridge/aiops/insights/dashboard/es.was1.4c331883-6d59-4054-99bc-5f4e440a9a5e 7) WHAT IS THE ISSUE?: Missing data"/>
    <x v="0"/>
    <s v="Medium"/>
    <s v="Medium"/>
    <d v="2026-07-15T19:48:00"/>
    <s v="PL_TOOLS &gt; AIOPS"/>
    <x v="0"/>
    <d v="2026-07-16T01:08:00"/>
    <x v="0"/>
    <m/>
    <m/>
  </r>
  <r>
    <n v="11231148"/>
    <s v="IzPCA MSU-MIPS values are incorrect"/>
    <s v="EMEA &gt; PROD &gt; KDL &gt; PL_TOOLS"/>
    <x v="0"/>
    <x v="2"/>
    <s v="Sneha S"/>
    <x v="70"/>
    <s v="Medium"/>
    <m/>
    <s v="PLATFORM TOOLS - BASIC DETAILS 1) CAPABILITY/TOOL: Integrated AIOps (AIOPS) 2) SHORT DESCRIPTION: IzPCA MSU-MIPS values are incorrect 3) DESCRIPTION OF ISSUE: Under AIOPS for AMex account, the dashboard IzPCA MSU-MIPS Insights is showing incorrect values and need to be corrected. The MSU value is showing as above 15K and spiking to 20K msu, and our highest so far is 10650 MSU 4) KYNDRYL BRIDGE CUSTOMER FOR AIOPS LOOKUP (IF KNOWN): American Express - amx (BAC000101B-US) es.was1 5) ORG MARKET: USA 6) WATCH LIST: KUHN BYRON 7) REPORTED PRIORITY: P2 - High (Sev2) 8) ADDITIONAL DETAILS: 9) ATTACHMENTS (EVIDENCE, SCREENSHOTS, LOGS,ETC): image (2).png PLATFORM TOOLS - INTEGRATED AIOPS (AIOPS) DETAILS 1) AIOPS LOCATION: Integrated AIOPs - NA 2) AIOPS INSTANCE: Americas 3) AIOPS DATA PLANE: 4) WHERE ON THE WEB PAGE IS THE ISSUE LOCATED?: Home &gt; Header &gt; Insights &gt; Dashboards 5) WHAT SUBCATEGORY OF THE LOCATION IS THE ISSUE RELATED TO?: Mainframe MIPS Insights 6) URL OF THE WEB PAGE DISPLAYING THE ISSUE: https://www.kyndryl.com/bridge/aiops/insights/dashboard/83aad588-9cb6-4b1b-ba06-45b0aac86107/ 7) WHAT IS THE ISSUE?: Incorrect data"/>
    <x v="0"/>
    <s v="High"/>
    <s v="Medium"/>
    <d v="2026-07-13T21:19:00"/>
    <s v="PL_TOOLS &gt; AIOPS"/>
    <x v="0"/>
    <d v="2026-07-16T00:47:00"/>
    <x v="0"/>
    <m/>
    <m/>
  </r>
  <r>
    <n v="11228000"/>
    <s v="Applications Dashbaord has different number of hostanmes than Inventory dashboard"/>
    <s v="EMEA &gt; PROD &gt; KDL &gt; PL_TOOLS"/>
    <x v="0"/>
    <x v="2"/>
    <s v="NOORUDDIN MOHD"/>
    <x v="69"/>
    <s v="Medium"/>
    <m/>
    <s v="PLATFORM TOOLS - BASIC DETAILS 1) CAPABILITY/TOOL: Integrated AIOps (AIOPS) 2) SHORT DESCRIPTION: Applications Dashbaord has different number of hostanmes than Inventory dashboard 3) DESCRIPTION OF ISSUE: On the Dow account there is an application called Smart 3D (S3D). In the applications dashboard, when you click on Application Rating, the Application Health Summary &amp; Recommendations says However, the Inventory Dashboard, when you click on the Applications tab, says the Resource Count is 175 for Smart 3D (S3D), not 186. There is a discrepancy of 11 resources. 4) KYNDRYL BRIDGE CUSTOMER FOR AIOPS LOOKUP (IF KNOWN): Dow Inc - dow (BAC000104B-US) es.was1 5) ORG MARKET: US Shared 6) WATCH LIST: 7) REPORTED PRIORITY: P3 - Medium (Sev3) 8) ADDITIONAL DETAILS: 9) ATTACHMENTS (EVIDENCE, SCREENSHOTS, LOGS,ETC): Screenshot 2026-07-12 at 4.33.42â€¯PM.png, Screenshot 2026-07-12 at 4.34.18â€¯PM.png PLATFORM TOOLS - INTEGRATED AIOPS (AIOPS) DETAILS 1) AIOPS LOCATION: Integrated AIOPs - NA 2) AIOPS INSTANCE: Americas 3) AIOPS DATA PLANE: 4) WHERE ON THE WEB PAGE IS THE ISSUE LOCATED?: Home &gt; Header &gt; Home 5) WHAT SUBCATEGORY OF THE LOCATION IS THE ISSUE RELATED TO?: Dashboard 6) URL OF THE WEB PAGE DISPLAYING THE ISSUE: https://www.kyndryl.com/bridge/aiops/home/businessServiceHealth/appServiceView 7) WHAT IS THE ISSUE?: Incorrect data"/>
    <x v="0"/>
    <s v="Medium"/>
    <s v="Medium"/>
    <d v="2026-07-13T03:08:00"/>
    <s v="PL_TOOLS &gt; AIOPS"/>
    <x v="0"/>
    <d v="2026-07-16T00:44:00"/>
    <x v="5"/>
    <m/>
    <m/>
  </r>
  <r>
    <n v="11230682"/>
    <s v="chatops open tikcet after 1 hour the ticket is open in GLPI"/>
    <s v="EMEA &gt; PROD &gt; KDL &gt; PL_TOOLS"/>
    <x v="0"/>
    <x v="2"/>
    <s v="Shreyani Ginna"/>
    <x v="71"/>
    <s v="Medium"/>
    <m/>
    <s v="PLATFORM TOOLS - BASIC DETAILS 1) CAPABILITY/TOOL: Integrated AIOps (AIOPS) 2) SHORT DESCRIPTION: chatops open tikcet after 1 hour the ticket is open in GLPI 3) DESCRIPTION OF ISSUE: We are working with chatops to open P1 incident, but we noticed the P1 chatops incident is open for example 9 AM, but the ticket in GPLI is open 8 AM. This means the P1 chatops have 1 hour to be opened this means SLA is lost, if I use this to work with 24 x 7 team, this will not happen. 4) KYNDRYL BRIDGE CUSTOMER FOR AIOPS LOOKUP (IF KNOWN): Saint Gobain BR - sgb (BAC0000963-BR) es.was1 5) ORG MARKET: Strategic Markets 6) WATCH LIST: Tozelli Nolli Ricardo, das Chagas Vecchia Luciano Augusto 7) REPORTED PRIORITY: P3 - Medium (Sev3) 8) ADDITIONAL DETAILS: 9) ATTACHMENTS (EVIDENCE, SCREENSHOTS, LOGS,ETC): Screenshot 2026-07-13 105113.png, Screenshot 2026-07-13 104954.png PLATFORM TOOLS - INTEGRATED AIOPS (AIOPS) DETAILS 1) AIOPS LOCATION: Integrated AIOPs - NA 2) AIOPS INSTANCE: Americas 3) AIOPS DATA PLANE: 4) WHERE ON THE WEB PAGE IS THE ISSUE LOCATED?: Home &gt; Header &gt; Insights &gt; Dashboards &gt; All Dashboards 5) WHAT SUBCATEGORY OF THE LOCATION IS THE ISSUE RELATED TO?: Extensions 6) URL OF THE WEB PAGE DISPLAYING THE ISSUE: 7) WHAT IS THE ISSUE?: Configuration"/>
    <x v="0"/>
    <s v="Medium"/>
    <s v="Medium"/>
    <d v="2026-07-13T19:26:00"/>
    <s v="PL_TOOLS &gt; AIOPS"/>
    <x v="0"/>
    <d v="2026-07-16T00:21:00"/>
    <x v="5"/>
    <m/>
    <m/>
  </r>
  <r>
    <n v="11236620"/>
    <s v="Batch metrics display issue after changing timeframe from 7 to 30 days"/>
    <s v="EMEA &gt; PROD &gt; KDL &gt; PL_TOOLS"/>
    <x v="0"/>
    <x v="2"/>
    <s v="NOORUDDIN MOHD"/>
    <x v="69"/>
    <s v="Medium"/>
    <m/>
    <s v="PLATFORM TOOLS - BASIC DETAILS 1) CAPABILITY/TOOL: Integrated AIOps (AIOPS) 2) SHORT DESCRIPTION: Batch metrics display issue after changing timeframe from 7 to 30 days 3) DESCRIPTION OF ISSUE: From the AIOps home screen, I click on the Batch Metrics Fail rate. It displays the data for the last 7 days. I click on the Date Quick Select icon and select Last 30 days. The Heatmap of Job Abends - Daily widget still shows only 7 days of data. Now Go back to the AIOps dashboard in Bridge Console. This time choose All Dashboards. Then load the Batch Metrics dashboard from the list. Then do trhe same thing in the dashboard - click on the Date Quick Select icon and select Last 30 days. This time The Heatmap of Job Abends - Daily widget shows all 30 days worth of data. I can reproduce this problem on multiple accounts. I did it on Meijer and Hertz. 4) KYNDRYL BRIDGE CUSTOMER FOR AIOPS LOOKUP (IF KNOWN): Meijer - mjr (BAC0002E92-US) es.was1 5) ORG MARKET: USA 6) WATCH LIST: 7) REPORTED PRIORITY: P3 - Medium (Sev3) 8) ADDITIONAL DETAILS: 9) ATTACHMENTS (EVIDENCE, SCREENSHOTS, LOGS,ETC): Screenshot 2026-07-14 at 11.26.45â€¯AM.png, Screenshot 2026-07-14 at 11.26.45â€¯AM.png, Screenshot 2026-07-14 at 8.25.31â€¯PM.png, Screenshot 2026-07-14 at 8.26.29â€¯PM.png PLATFORM TOOLS - INTEGRATED AIOPS (AIOPS) DETAILS 1) AIOPS LOCATION: Integrated AIOPs - NA 2) AIOPS INSTANCE: Americas 3) AIOPS DATA PLANE: 4) WHERE ON THE WEB PAGE IS THE ISSUE LOCATED?: Home &gt; Header &gt; Insights &gt; Dashboards 5) WHAT SUBCATEGORY OF THE LOCATION IS THE ISSUE RELATED TO?: Mainframe Batch Metrics Insights 6) URL OF THE WEB PAGE DISPLAYING THE ISSUE: 7) WHAT IS THE ISSUE?: Missing data"/>
    <x v="0"/>
    <s v="Medium"/>
    <s v="Medium"/>
    <d v="2026-07-15T07:03:00"/>
    <s v="PL_TOOLS &gt; AIOPS"/>
    <x v="0"/>
    <d v="2026-07-15T23:57:00"/>
    <x v="0"/>
    <m/>
    <m/>
  </r>
  <r>
    <n v="11240336"/>
    <s v="op3#vul-details-consumer#Cleared and Re-fired: P-260731300-Out-of-memory kills have been observed fo"/>
    <s v="EMEA &gt; PROD &gt; KDL &gt; PL_TOOLS"/>
    <x v="1"/>
    <x v="2"/>
    <m/>
    <x v="16"/>
    <s v="Medium"/>
    <m/>
    <s v="Business Service: Integrated AIOps (AIOPS) Capability Tool: Integrated AIOPs - Americas -------------------------------------------- FirstOccurrence: 2026-07-15 17:02:25 Summary: Cleared and Re-fired: P-260731300-Out-of-memory kills have been observed for pods of this workload. Severity: Major ResourceId: vul-details-consumer ServerSerial: 10502892 ServerName: NCO_PRI CustomerCode: op3 InstanceSituation: Out-of-memory kills URL: https://arg88263.live.dynatrace.com/#problems/problemdetails;pid=-8393596412500669047_1784134740000V2 NodeAlias: {Tags[IP]} ComponentType: {Tags[OS]} OSType: AlertKey: Out-of-memory kills TicketGroup: K-PLTools-AIOPs-Americas-Delivery-Support"/>
    <x v="0"/>
    <s v="Medium"/>
    <s v="Medium"/>
    <d v="2026-07-15T23:54:00"/>
    <s v="Inquiry / Help"/>
    <x v="0"/>
    <d v="2026-07-15T23:54:00"/>
    <x v="4"/>
    <m/>
    <m/>
  </r>
  <r>
    <n v="11213380"/>
    <s v="GLPI ticketing data is missing in AIOPs"/>
    <s v="EMEA &gt; PROD &gt; KDL &gt; PL_TOOLS"/>
    <x v="2"/>
    <x v="0"/>
    <s v="Sneha S"/>
    <x v="72"/>
    <s v="Medium"/>
    <m/>
    <s v="PLATFORM TOOLS - BASIC DETAILS 1) CAPABILITY/TOOL: Integrated AIOps (AIOPS) 2) SHORT DESCRIPTION: GLPI ticketing data is missing in AIOPs 3) DESCRIPTION OF ISSUE: Hello, I'm the Delivery manager working in IRS department under Wadysaw Jurkowski. After migrating from SNOW ticketing tool to GLPI we are missing data in AIOPs. Our customers' data needs to be mapped to our OU which is GCS - S&amp;R - Cyber Incident Recovery, Global (GCSSBKPWW-CIR). Will be more than grateful if someone can support us with this action. Thank you in advance 4) KYNDRYL BRIDGE CUSTOMER FOR AIOPS LOOKUP (IF KNOWN): AIR CANADA - acc (BAC0000285-CA) es.tor1 5) ORG MARKET: US Shared 6) WATCH LIST: 7) REPORTED PRIORITY: P2 - High (Sev2) 8) ADDITIONAL DETAILS: Issue is for all our supported customers - not only AIr Canada, we are missing data for all customers. PLATFORM TOOLS - INTEGRATED AIOPS (AIOPS) DETAILS 1) AIOPS LOCATION: Integrated AIOPs - Global 2) AIOPS INSTANCE: Global 3) AIOPS DATA PLANE: GLPI 4) WHERE ON THE WEB PAGE IS THE ISSUE LOCATED?: Home &gt; Header &gt; Home 5) WHAT SUBCATEGORY OF THE LOCATION IS THE ISSUE RELATED TO?: Others 6) URL OF THE WEB PAGE DISPLAYING THE ISSUE: 7) WHAT IS THE ISSUE?: Missing data"/>
    <x v="0"/>
    <s v="High"/>
    <s v="Medium"/>
    <d v="2026-07-08T13:53:00"/>
    <s v="PL_TOOLS &gt; AIOPS"/>
    <x v="0"/>
    <d v="2026-07-15T23:30:00"/>
    <x v="2"/>
    <m/>
    <m/>
  </r>
  <r>
    <n v="11205893"/>
    <s v="Ticket description is getting truncated to 256 chars"/>
    <s v="EMEA &gt; PROD &gt; KDL &gt; PL_TOOLS"/>
    <x v="2"/>
    <x v="2"/>
    <s v="Sneha S"/>
    <x v="73"/>
    <s v="Medium"/>
    <m/>
    <s v="Data Type : Incident Ticket Ticket description is getting truncated to 256 chars. compare the length of description with different tool source and got to know that is is 256 MAX(LENGTH(description)). - 256 Extension team need to loom on it. attached the details of MAX(LENGTH(description)). with respect to tool_source Please assign the correct Extension team."/>
    <x v="0"/>
    <s v="Medium"/>
    <s v="Medium"/>
    <d v="2026-07-06T20:23:00"/>
    <s v="PL_TOOLS"/>
    <x v="0"/>
    <d v="2026-07-15T22:44:00"/>
    <x v="1"/>
    <m/>
    <m/>
  </r>
  <r>
    <n v="11238212"/>
    <s v="â€œext-aiops-robot-ui-servicesâ€ application need to be restarted"/>
    <s v="EMEA &gt; PROD &gt; KDL &gt; PL_TOOLS"/>
    <x v="0"/>
    <x v="2"/>
    <s v="Praveen Dudam"/>
    <x v="73"/>
    <s v="Medium"/>
    <m/>
    <s v="â€œext-aiops-robot-ui-servicesâ€ application need to be restarted since we have updated the vault value, so pod need to restarted in the GEO - AG, AP, EU, IN , JP"/>
    <x v="0"/>
    <s v="Medium"/>
    <s v="Medium"/>
    <d v="2026-07-15T14:46:00"/>
    <s v="PL_TOOLS"/>
    <x v="1"/>
    <d v="2026-07-15T21:51:00"/>
    <x v="0"/>
    <m/>
    <m/>
  </r>
  <r>
    <n v="11239716"/>
    <s v="Incident Dashboard Not Displaying Current Assignment Group for Some Tickets"/>
    <s v="EMEA &gt; PROD &gt; KDL &gt; PL_TOOLS"/>
    <x v="0"/>
    <x v="2"/>
    <s v="NOORUDDIN MOHD"/>
    <x v="8"/>
    <s v="Low"/>
    <m/>
    <s v="PLATFORM TOOLS - BASIC DETAILS 1) CAPABILITY/TOOL: Integrated AIOps (AIOPS) 2) SHORT DESCRIPTION: Incident Dashboard Not Displaying Current Assignment Group for Some Tickets 3) DESCRIPTION OF ISSUE: We are frequently finding cases where the Incident Dashboard's tickets are not current with respect to assignment group. There is a workaround to resolve, which is the perform an ad-hoc sync of the ticket, which updates the data lake from the ServiceNow extension. I'm opening this ticket as I believe there is a problem with the date/time precision which may be causing our Incident Dashboard to be out of sync. The in the specific case for INC1672504 we have this detail: Incident Dashboard shows assignment SNW-LAN Ops Support-IGS. (an In-Scope queue) ServiceNow for INC1672504: Assignment Group: SNW-Operations Research-TS - Operations Research Time Change: 2026-07-01 13:53:28 CT NOTE: Previous Assignment group change: Assignment Group: SNW-LAN Ops Support-IGS Time Change: 2026-07-01 13:52:56 CT Incoming Ticket Data for INC1672504 shows correct: queue_id: SNW-Operations Research-TS - Operations Research modify_dttm: Jul 1, 2026 @ 14:53:28.000. (ET as from my browser, matches 13:53:28 CT) Processed Ticket Data for INC1672504 shows INCORRECT: queue_id: SNW-LAN Ops Support-IGS modify_dttm: 2026-07-01T18:53:15.000Z. (note this date would have pulled the data from source, which is before the update at 53:28, so, the Processed Ticket Data is not current) 4) KYNDRYL BRIDGE CUSTOMER FOR AIOPS LOOKUP (IF KNOWN): BNSF Railway Company - bnf, bsf (BAC0000FC2) es.was1 5) ORG MARKET: USA 6) WATCH LIST: JAYARAMAN KARTHICK 7) REPORTED PRIORITY: P4 - Low (Sev4) 8) ADDITIONAL DETAILS: See attached docs 9) ATTACHMENTS (EVIDENCE, SCREENSHOTS, LOGS,ETC): INC1672504 Processed Incident Ticket Data.docx, INC1672504 Incoming Ticket Data.docx, Incident Dashboard is Out of Sync on some Incidents.docx PLATFORM TOOLS - INTEGRATED AIOPS (AIOPS) DETAILS 1) AIOPS LOCATION: Integrated AIOPs - NA 2) AIOPS INSTANCE: Americas 3) AIOPS DATA PLANE: es.was1 4) WHERE ON THE WEB PAGE IS THE ISSUE LOCATED?: Home &gt; Side bar 5) WHAT SUBCATEGORY OF THE LOCATION IS THE ISSUE RELATED TO?: Dashboard 6) URL OF THE WEB PAGE DISPLAYING THE ISSUE: https://www.kyndryl.com/bridge/aiops/home/IncidentDashboard 7) WHAT IS THE ISSUE?: Incorrect data"/>
    <x v="2"/>
    <s v="Low"/>
    <s v="Low"/>
    <d v="2026-07-15T20:21:00"/>
    <s v="PL_TOOLS &gt; AIOPS"/>
    <x v="0"/>
    <d v="2026-07-15T21:45:00"/>
    <x v="0"/>
    <m/>
    <m/>
  </r>
  <r>
    <n v="11239721"/>
    <s v="There is no incident data."/>
    <s v="EMEA &gt; PROD &gt; KDL &gt; PL_TOOLS"/>
    <x v="0"/>
    <x v="2"/>
    <s v="Praveen Dudam"/>
    <x v="74"/>
    <s v="Medium"/>
    <m/>
    <s v="PLATFORM TOOLS - BASIC DETAILS 1) CAPABILITY/TOOL: Integrated AIOps (AIOPS) 2) SHORT DESCRIPTION: There is no incident data. 3) DESCRIPTION OF ISSUE: Hi team, There has been no incident data available in Bridge for any of the Gerdau accounts since JULY 13. This issue is directly impacting our day-to-day operations. The problem is affecting all three Gerdau accounts: * GERDAU (GER) â€“ GB302B9D / DB502JSB * GERDAU UNIDADES REMOTAS (GUR) â€“ GB302B9D / DB502JSB * GERDAU US (GLN/GNA) â€“ GB302B9D / DB502JSB Could you please investigate the root cause and provide an estimated timeline for resolution? Thank you! 4) KYNDRYL BRIDGE CUSTOMER FOR AIOPS LOOKUP (IF KNOWN): Gerdau - ger (BAC0000576-BR) es.was1 5) ORG MARKET: Strategic Markets 6) WATCH LIST: Lourenco Glauce Kelly 7) REPORTED PRIORITY: P3 - Medium (Sev3) 8) ADDITIONAL DETAILS: Hi team, There has been no incident data available in Bridge for any of the Gerdau accounts since JULY 13. This issue is directly impacting our day-to-day operations. The problem is affecting all three Gerdau accounts: * GERDAU (GER) â€“ GB302B9D / DB502JSB * GERDAU UNIDADES REMOTAS (GUR) â€“ GB302B9D / DB502JSB * GERDAU US (GLN/GNA) â€“ GB302B9D / DB502JSB Could you please investigate the root cause and provide an estimated timeline for resolution? Thank you! 9) ATTACHMENTS (EVIDENCE, SCREENSHOTS, LOGS,ETC): imagem.png, imagem (1).png, imagem (2).png PLATFORM TOOLS - INTEGRATED AIOPS (AIOPS) DETAILS 1) AIOPS LOCATION: Integrated AIOPs - NA 2) AIOPS INSTANCE: Americas 3) AIOPS DATA PLANE: 4) WHERE ON THE WEB PAGE IS THE ISSUE LOCATED?: Home &gt; Header &gt; Home 5) WHAT SUBCATEGORY OF THE LOCATION IS THE ISSUE RELATED TO?: Dashboard 6) URL OF THE WEB PAGE DISPLAYING THE ISSUE: 7) WHAT IS THE ISSUE?: Missing data"/>
    <x v="0"/>
    <s v="Medium"/>
    <s v="Medium"/>
    <d v="2026-07-15T20:22:00"/>
    <s v="PL_TOOLS &gt; AIOPS"/>
    <x v="0"/>
    <d v="2026-07-15T21:44:00"/>
    <x v="0"/>
    <m/>
    <m/>
  </r>
  <r>
    <n v="11239497"/>
    <s v="Your request was sent to Tower, but no execution ID was received. Because of this, the automation was not triggered and no execution logs are available."/>
    <s v="EMEA &gt; PROD &gt; KDL &gt; PL_TOOLS"/>
    <x v="0"/>
    <x v="2"/>
    <s v="Steve Burkhalter"/>
    <x v="75"/>
    <s v="High"/>
    <m/>
    <s v="PLATFORM TOOLS - BASIC DETAILS 1) CAPABILITY/TOOL: Integrated AIOps (AIOPS) 2) SHORT DESCRIPTION: Your request was sent to Tower, but no execution ID was received. Because of this, the automation was not triggered and no execution logs are available. 3) DESCRIPTION OF ISSUE: Your request was sent to Tower, but no execution ID was received. Because of this, the automation was not triggered and no execution logs are available. {&quot;detail&quot; =&gt; &quot;Authentication credentials were not provided. To establish a login session, visit /api/login/.&quot;} All Automation Services executions are failing and impacting users. ALL CUSTOMERS 4) KYNDRYL BRIDGE CUSTOMER FOR AIOPS LOOKUP (IF KNOWN): Honda - BR - hm2 (BAC000231A-BR) es.was1 5) ORG MARKET: Strategic Markets 6) WATCH LIST: Tozelli Nolli Ricardo, das Chagas Vecchia Luciano Augusto 7) REPORTED PRIORITY: P1 - Critical (Sev1) 8) ADDITIONAL DETAILS: 9) ATTACHMENTS (EVIDENCE, SCREENSHOTS, LOGS,ETC): Captura de Tela 2026-07-15 aÌ€s 10.54.57.png PLATFORM TOOLS - INTEGRATED AIOPS (AIOPS) DETAILS 1) AIOPS LOCATION: Integrated AIOPs - NA 2) AIOPS INSTANCE: Americas 3) AIOPS DATA PLANE: 4) WHERE ON THE WEB PAGE IS THE ISSUE LOCATED?: Home &gt; Header &gt; Automation &gt; Inventory 5) WHAT SUBCATEGORY OF THE LOCATION IS THE ISSUE RELATED TO?: Automation 6) URL OF THE WEB PAGE DISPLAYING THE ISSUE: 7) WHAT IS THE ISSUE?: Component failure"/>
    <x v="1"/>
    <s v="Very High"/>
    <s v="Medium"/>
    <d v="2026-07-15T19:25:00"/>
    <s v="PL_TOOLS &gt; AIOPS"/>
    <x v="0"/>
    <d v="2026-07-15T21:43:00"/>
    <x v="0"/>
    <m/>
    <m/>
  </r>
  <r>
    <n v="11189993"/>
    <s v="Incidents , Problems and Changes information is not showing in the dash board ."/>
    <s v="EMEA &gt; PROD &gt; KDL &gt; PL_TOOLS"/>
    <x v="0"/>
    <x v="1"/>
    <s v="GÃ¡bor Szabolcs NÃ©meth"/>
    <x v="76"/>
    <s v="Low"/>
    <m/>
    <s v="PLATFORM TOOLS - BASIC DETAILS 1) CAPABILITY/TOOL: Integrated AIOps (AIOPS) 2) SHORT DESCRIPTION: Incidents , Problems and Changes information is not showing in the dash board . 3) DESCRIPTION OF ISSUE: Incident, Problem and change information is not displaying on the main dashboard, although data is flowing in the background. Request to investigate. Find the attached screen shots for reference. 4) KYNDRYL BRIDGE CUSTOMER FOR AIOPS LOOKUP (IF KNOWN): Humana - hum (BAC000342A-US) es.was1 5) ORG MARKET: USA 6) WATCH LIST: 7) REPORTED PRIORITY: P4 - Low (Sev4) 8) ADDITIONAL DETAILS: Incident, Problem and change information is not displaying on the main dashboard, although data is flowing in the background. . Find the attached screen shots for reference. 9) ATTACHMENTS (EVIDENCE, SCREENSHOTS, LOGS,ETC): Change Insights 1.png, Change Insights 2.png, Predicted critical changes 1.png, Predicted critical changes 2.png, Problem Insights 1.png PLATFORM TOOLS - INTEGRATED AIOPS (AIOPS) DETAILS 1) AIOPS LOCATION: Integrated AIOPs - EU 2) AIOPS INSTANCE: Europe 3) AIOPS DATA PLANE: 4) WHERE ON THE WEB PAGE IS THE ISSUE LOCATED?: Home &gt; Header &gt; Actionable Insights 5) WHAT SUBCATEGORY OF THE LOCATION IS THE ISSUE RELATED TO?: Dashboard 6) URL OF THE WEB PAGE DISPLAYING THE ISSUE: 7) WHAT IS THE ISSUE?: Incorrect data"/>
    <x v="2"/>
    <s v="Low"/>
    <s v="Low"/>
    <d v="2026-07-02T02:29:00"/>
    <s v="PL_TOOLS &gt; AIOPS"/>
    <x v="0"/>
    <d v="2026-07-15T21:41:00"/>
    <x v="1"/>
    <m/>
    <m/>
  </r>
  <r>
    <n v="11228949"/>
    <s v="Agentic AI Development team is working to develop an agent that will monitor scan failure messages published in the chat Ops/Teams for failed vulnerability and patch management scans."/>
    <s v="EMEA &gt; PROD &gt; KDL &gt; PL_TOOLS"/>
    <x v="2"/>
    <x v="1"/>
    <s v="Piotr KoÅºmin"/>
    <x v="77"/>
    <s v="Medium"/>
    <m/>
    <s v="PLATFORM TOOLS - BASIC DETAILS 1) SHORT DESCRIPTION: Agentic AI Development team is working to develop an agent that will monitor scan failure messages published in the chat Ops/Teams for failed vulnerability and patch management scans. 2) DESCRIPTION OF REQUEST: REQUEST BACKGROUND Agentic AI Development team is working to develop an agent that will monitor scan failure messages published in the chat Ops/Teams for failed vulnerability and patch management scans. Once a failure message is detected, it will collect host, account, and error-code details, then fetch related evidence from external tools (such as the Ticketing tool, VIVA Channel, Elastic Index) such as incidents, changes, host-down events, component failures, or known issues. ASK CTO team is engaged to develop MCP Connector for this purpose however they need API Keys, API Credentials and API endpoints for this purpose. This request is to obtain the API Keys, API Credentials and API endpoints required by CTO team to build the MCP Connector that will help in fetching the details from Elastic Index . Read Only Access is required to Elastic index for all Geos/AIOPS Instances. Eg- delivery.cacf.job.metrics Can you please help us in providing the requested information. The objective is to correlate the collected information and generate an RCA with possible fixes, which will be published in ChatOps/Teams. As highlighted the solution will operate in read-only mode and will not create tickets, update Elastic, publish any details to Viva, or execute any actions in external tools. ============ ELASTIC REQUIREMENTS To support the integration design and onboarding process, we would appreciate guidance on the following: * Read-only API access model * Available APIs, schemas, and technical documentation * Security review and approval requirements * Any available MCP-compatible integration capabilities (if supported) Summary * Access requests should be submitted through the formal service request process. * The specific Elastic indexes required must be identified as part of the request. * API-based access is expected. * Security review and approval will be required before access can be granted. MCP compatibility is currently unknown and requires further validation. ================= 3) CAPABILITY/TOOL: Integrated AIOps (AIOPS) 4) KYNDRYL BRIDGE CUSTOMER FOR AIOPS LOOKUP (IF KNOWN): Demo AIOps Customer - k2t (BAC7209010-NL) es.ams1 5) ORG MARKET: US Shared 6) ADDITIONAL DETAILS: Raising this request on behalf of below CTO team request, plz reach out to them for any queries. SR needs to be assigned to AIOPS -Elastic Index team Sonia.Wadhwa@kyndryl.com Gowhar.Majeed@kyndryl.com Giridhar.Gopal1@kyndryl.com 7) NOTIFY: PLATFORM TOOLS - INTEGRATED AIOPS (AIOPS) DETAILS 1) AIOPS LOCATION: Integrated AIOPs - EU 2) AIOPS INSTANCE: Europe 3) TYPE OF REQUEST: AIOPS - General Request"/>
    <x v="0"/>
    <s v="Medium"/>
    <s v="Medium"/>
    <d v="2026-07-13T11:50:00"/>
    <s v="PL_TOOLS &gt; AIOPS"/>
    <x v="1"/>
    <d v="2026-07-15T20:58:00"/>
    <x v="5"/>
    <m/>
    <m/>
  </r>
  <r>
    <n v="11179307"/>
    <s v="Michelin - Self Managment dashboard (execution of enrich policy)"/>
    <s v="EMEA &gt; PROD &gt; KDL &gt; PL_TOOLS"/>
    <x v="2"/>
    <x v="1"/>
    <s v="Piotr KoÅºmin"/>
    <x v="78"/>
    <s v="Medium"/>
    <m/>
    <s v="PLATFORM TOOLS - BASIC DETAILS 1) SHORT DESCRIPTION: Michelin - Self Managment dashboard (execution of enrich policy) 2) DESCRIPTION OF REQUEST: Hi team, please I would like to ask if possible to run following command on EU prod. its execution of customized enrich policy for Michelin account : POST /_enrich/policy/delivery.mic_inventory_policy/_execute Let me know in case of any questions. Thanks a lot for your help. 3) CAPABILITY/TOOL: Integrated AIOps (AIOPS) 4) KYNDRYL BRIDGE CUSTOMER FOR AIOPS LOOKUP (IF KNOWN): MICHELIN - mic (BAC0003419-FR) es.ams1 5) ORG MARKET: France 6) ADDITIONAL DETAILS: 7) NOTIFY: PLATFORM TOOLS - INTEGRATED AIOPS (AIOPS) DETAILS 1) AIOPS LOCATION: Integrated AIOPs - EU 2) AIOPS INSTANCE: Europe 3) TYPE OF REQUEST: AIOPS - General Request"/>
    <x v="0"/>
    <s v="Medium"/>
    <s v="Medium"/>
    <d v="2026-06-29T18:29:00"/>
    <s v="PL_TOOLS &gt; AIOPS"/>
    <x v="1"/>
    <d v="2026-07-15T20:57:00"/>
    <x v="3"/>
    <m/>
    <m/>
  </r>
  <r>
    <n v="11239279"/>
    <s v="US Shared Mainframe Data not showing up from ApexaIQ into AIOPS-VMI - All Accounts with Mainframe"/>
    <s v="EMEA &gt; PROD &gt; KDL &gt; PL_TOOLS"/>
    <x v="0"/>
    <x v="2"/>
    <s v="Ravi Vadapally"/>
    <x v="79"/>
    <s v="Low"/>
    <m/>
    <s v="PLATFORM TOOLS - BASIC DETAILS 1) CAPABILITY/TOOL: Integrated AIOps (AIOPS) 2) SHORT DESCRIPTION: US Shared Mainframe Data not showing up from ApexaIQ into AIOPS-VMI - All Accounts with Mainframe 3) DESCRIPTION OF ISSUE: There was an issue yesterday where ApexaIQ was missing Mainframe SIA data. It was showing up under No Longer Discovered. Ticket 11234900 was opened and the vendor Apexa was engaged to resolve. Today Mainframe accounts are showing 0 for mainframe vulnerabilities on the US Shared AIOPS-VMI instance. Screenshots have been provided to Eva. 4) KYNDRYL BRIDGE CUSTOMER FOR AIOPS LOOKUP (IF KNOWN): Caterpillar Inc. - ctr (BAC0000E8C-US) es.was1 5) ORG MARKET: USA 6) WATCH LIST: 7) REPORTED PRIORITY: P1 - Critical (Sev1) 8) ADDITIONAL DETAILS: This is impacting all accounts with mainframe data on US AIOPS Shared VMI. I did not see an option for multiple in the drop down. Screenshots have been shared with Eva Cernachova who has shared with support. PLATFORM TOOLS - INTEGRATED AIOPS (AIOPS) DETAILS 1) AIOPS LOCATION: Integrated AIOPs - NA 2) AIOPS INSTANCE: Americas 3) AIOPS DATA PLANE: https://www.kyndryl.com/bridge/aiops/insights/dashboard/4c331883-6d59-4054-99bc-5f4e440a9a5e/ 4) WHERE ON THE WEB PAGE IS THE ISSUE LOCATED?: Home &gt; Header &gt; Insights &gt; Dashboards 5) WHAT SUBCATEGORY OF THE LOCATION IS THE ISSUE RELATED TO?: Dashboard 6) URL OF THE WEB PAGE DISPLAYING THE ISSUE: https://www.kyndryl.com/bridge/aiops/insights/dashboard/4c331883-6d59-4054-99bc-5f4e440a9a5e/ 7) WHAT IS THE ISSUE?: Missing data"/>
    <x v="2"/>
    <s v="Very High"/>
    <s v="Low"/>
    <d v="2026-07-15T18:43:00"/>
    <s v="PL_TOOLS &gt; AIOPS"/>
    <x v="0"/>
    <d v="2026-07-15T20:18:00"/>
    <x v="0"/>
    <m/>
    <m/>
  </r>
  <r>
    <n v="11237015"/>
    <s v="CEP Dashboard and Inventory360 Dashboard not accessible from dashboards menu at the left side."/>
    <s v="EMEA &gt; PROD &gt; KDL &gt; PL_TOOLS"/>
    <x v="0"/>
    <x v="3"/>
    <s v="Trupti Uday Devadiga"/>
    <x v="80"/>
    <s v="Medium"/>
    <m/>
    <s v="PLATFORM TOOLS - BASIC DETAILS 1) CAPABILITY/TOOL: Integrated AIOps (AIOPS) 2) SHORT DESCRIPTION: CEP Dashboard and Inventory360 Dashboard not accessible from dashboards menu at the left side. 3) DESCRIPTION OF ISSUE: Hi Team, CEP Dashboard and Inventory360 Dashboard should appear in the dashboard's menu at the left side. I am concerned that Bridge/AIOPS convergency or Bridge UI change last month is affecting something in the menu. Please investigate and let us know the cause. Thank you 4) KYNDRYL BRIDGE CUSTOMER FOR AIOPS LOOKUP (IF KNOWN): Kobe Steel Ltd. - kob (BAC0000F62-JP) es.jpn1 5) ORG MARKET: Japan 6) WATCH LIST: ITOH MIYAKO 7) REPORTED PRIORITY: P3 - Medium (Sev3) 8) ADDITIONAL DETAILS: 9) ATTACHMENTS (EVIDENCE, SCREENSHOTS, LOGS,ETC): Screenshot 2026-07-15 at 6.34.49.png, Screenshot 2026-07-15 at 6.35.58.png PLATFORM TOOLS - INTEGRATED AIOPS (AIOPS) DETAILS 1) AIOPS LOCATION: Integrated AIOPs - JP 2) AIOPS INSTANCE: Japan 3) AIOPS DATA PLANE: 4) WHERE ON THE WEB PAGE IS THE ISSUE LOCATED?: Home &gt; Header &gt; Insights &gt; Dashboards 5) WHAT SUBCATEGORY OF THE LOCATION IS THE ISSUE RELATED TO?: Inventory 360 6) URL OF THE WEB PAGE DISPLAYING THE ISSUE: 7) WHAT IS THE ISSUE?: Missing data"/>
    <x v="0"/>
    <s v="Medium"/>
    <s v="Medium"/>
    <d v="2026-07-15T09:49:00"/>
    <s v="PL_TOOLS &gt; AIOPS"/>
    <x v="0"/>
    <d v="2026-07-15T19:21:00"/>
    <x v="0"/>
    <m/>
    <m/>
  </r>
  <r>
    <n v="11234920"/>
    <s v="AIOPs DASDSCAN and Health check jobs are failing PYXFER step with cc 2560"/>
    <s v="EMEA &gt; PROD &gt; KDL &gt; PL_TOOLS"/>
    <x v="0"/>
    <x v="2"/>
    <s v="Syeda Raffathunnisa"/>
    <x v="81"/>
    <s v="Low"/>
    <m/>
    <s v="PLATFORM TOOLS - BASIC DETAILS 1) CAPABILITY/TOOL: Integrated AIOps (AIOPS) 2) SHORT DESCRIPTION: AIOPs DASDSCAN and Health check jobs are failing PYXFER step with cc 2560 3) DESCRIPTION OF ISSUE: Team, From July 8th, AIOPs DASDSCAN and Health check jobs are failing PYXFER step with cc 2560. AIOPST1I - Initiatting I-AIOPS file transfer! Request failed: HTTPSConnectionPool(host='sfs-relay.na1-ext.cacf.kyndryl.net', port=443): Max retries exceeded with url: /files/un8/un8_project_udc (Caused by ReadTimeoutError(&quot;HTTPSConnectionPool(host='sfs-relay.na1-ext.cacf.kyndryl.net', port=443): Read timed out. (read timeout=5)&quot;)) Cleaning up files after failure .AIOPST2E - File transfer to I-AIOPS failed, please investigate! .AIOPST2E - HTTPSConnectionPool(host='sfs-relay.na1-ext.cacf.kyndryl.net', port=443): Max retries exceeded with url: /files/un8/un8_project_udc (Caused by ReadTimeoutError(&quot;HTTPSConnectionPool(host='sfs-relay.na1-ext.cacf.kyndryl.net', port=443): Read timed out. (read timeout=5)&quot;)) 4) KYNDRYL BRIDGE CUSTOMER FOR AIOPS LOOKUP (IF KNOWN): UNFI - un8 (BAC0003832-US) es.was1 5) ORG MARKET: USA 6) WATCH LIST: 7) REPORTED PRIORITY: P4 - Low (Sev4) 8) ADDITIONAL DETAILS: PLATFORM TOOLS - INTEGRATED AIOPS (AIOPS) DETAILS 1) AIOPS LOCATION: Integrated AIOPs - NA 2) AIOPS INSTANCE: Americas 3) AIOPS DATA PLANE: 4) WHERE ON THE WEB PAGE IS THE ISSUE LOCATED?: Home &gt; IT Health Indicators 5) WHAT SUBCATEGORY OF THE LOCATION IS THE ISSUE RELATED TO?: Best practice 6) URL OF THE WEB PAGE DISPLAYING THE ISSUE: 7) WHAT IS THE ISSUE?: Missing data"/>
    <x v="2"/>
    <s v="Low"/>
    <s v="Low"/>
    <d v="2026-07-14T19:45:00"/>
    <s v="PL_TOOLS &gt; AIOPS"/>
    <x v="0"/>
    <d v="2026-07-15T18:35:00"/>
    <x v="0"/>
    <m/>
    <m/>
  </r>
  <r>
    <n v="11239013"/>
    <s v="oe1#ciq-sub-pri-veeam-inv#P-260730616-Deployment is stuck and therefore is no longer progressing."/>
    <s v="EMEA &gt; PROD &gt; KDL &gt; PL_TOOLS"/>
    <x v="0"/>
    <x v="1"/>
    <s v="GÃ¡bor Szabolcs NÃ©meth"/>
    <x v="16"/>
    <s v="Medium"/>
    <m/>
    <s v="Business Service: Integrated AIOps (AIOPS) Capability Tool: Integrated AIOPs - EU -------------------------------------------- FirstOccurrence: 2026-07-15 11:37:20 Summary: P-260730616-Deployment is stuck and therefore is no longer progressing. Severity: Major ResourceId: ciq-sub-pri-veeam-inv ServerSerial: 10499549 ServerName: NCO_PRI CustomerCode: oe1 InstanceSituation: Deployment stuck URL: https://arg88263.live.dynatrace.com/#problems/problemdetails;pid=-882369767589820694_1784115240000V2 NodeAlias: {Tags[IP]} ComponentType: {Tags[OS]} OSType: AlertKey: Deployment stuck TicketGroup: K-PLTools-AIOPs-EU-Delivery-Support"/>
    <x v="0"/>
    <s v="Medium"/>
    <s v="Medium"/>
    <d v="2026-07-15T17:37:00"/>
    <s v="Inquiry / Help"/>
    <x v="0"/>
    <d v="2026-07-15T17:50:00"/>
    <x v="0"/>
    <m/>
    <m/>
  </r>
  <r>
    <n v="11239021"/>
    <s v="oe1#vul-details-consumer1#Cleared and Re-fired: P-260730670-Out-of-memory kills have been observed f"/>
    <s v="EMEA &gt; PROD &gt; KDL &gt; PL_TOOLS"/>
    <x v="0"/>
    <x v="1"/>
    <s v="Piotr KoÅºmin"/>
    <x v="16"/>
    <s v="Medium"/>
    <m/>
    <s v="Business Service: Integrated AIOps (AIOPS) Capability Tool: Integrated AIOPs - EU -------------------------------------------- FirstOccurrence: 2026-07-15 11:38:23 Summary: Cleared and Re-fired: P-260730670-Out-of-memory kills have been observed for pods of this workload. Severity: Major ResourceId: vul-details-consumer1 ServerSerial: 10499563 ServerName: NCO_PRI CustomerCode: oe1 InstanceSituation: Out-of-memory kills URL: https://arg88263.live.dynatrace.com/#problems/problemdetails;pid=5418703538018253772_1784115300000V2 NodeAlias: {Tags[IP]} ComponentType: {Tags[OS]} OSType: AlertKey: Out-of-memory kills TicketGroup: K-PLTools-AIOPs-EU-Delivery-Support"/>
    <x v="0"/>
    <s v="Medium"/>
    <s v="Medium"/>
    <d v="2026-07-15T17:38:00"/>
    <s v="Inquiry / Help"/>
    <x v="0"/>
    <d v="2026-07-15T17:49:00"/>
    <x v="0"/>
    <m/>
    <m/>
  </r>
  <r>
    <n v="11229604"/>
    <s v="Global VMI Dashboard appears incorrect"/>
    <s v="EMEA &gt; PROD &gt; KDL &gt; PL_TOOLS"/>
    <x v="0"/>
    <x v="1"/>
    <s v="JiÅ™Ã­ KuÅ¾ela"/>
    <x v="82"/>
    <s v="Medium"/>
    <m/>
    <s v="PLATFORM TOOLS - BASIC DETAILS 1) CAPABILITY/TOOL: Integrated AIOps (AIOPS) 2) SHORT DESCRIPTION: Global VMI Dashboard appears incorrect 3) DESCRIPTION OF ISSUE: The UKI global Vulnerability Management Insights dashboard appears incorrect and incomplete. I was expecting to see 1.5 or 1.6 million open vulnerabilities today but instead its showing 1.1 million so near 500k missing. Based on the global VMI data I have reviewed a single account VMI dashboard and this is also incorrect (missing devices + vuls) but when the account check in Apexa direct it is as expected. Logged under PTSB as required to log an account but this is a UKI level concern using PTSB as the example. 4) KYNDRYL BRIDGE CUSTOMER FOR AIOPS LOOKUP (IF KNOWN): PTSB - pts (BAC0003868-IE) es.ams1 5) ORG MARKET: UKI 6) WATCH LIST: KÅˆazeovÃ¡ Tatiana 7) REPORTED PRIORITY: P2 - High (Sev2) 8) ADDITIONAL DETAILS: Impacts exec level reporting. Makes VMI untrusted / unreliable at the account level at this time unless support can tell us which accounts in UKI are in synch with Apexa and VMI. PLATFORM TOOLS - INTEGRATED AIOPS (AIOPS) DETAILS 1) AIOPS LOCATION: Integrated AIOPs - EU 2) AIOPS INSTANCE: Europe 3) AIOPS DATA PLANE: 4) WHERE ON THE WEB PAGE IS THE ISSUE LOCATED?: Home &gt; Header &gt; Insights &gt; Dashboards 5) WHAT SUBCATEGORY OF THE LOCATION IS THE ISSUE RELATED TO?: Security Patch Management 6) URL OF THE WEB PAGE DISPLAYING THE ISSUE: https://www.kyndryl.com/bridge/aiops/insights/dashboard/3f8e1c8d-ec2d-4acb-b2bf-db8fa93070f5/ 7) WHAT IS THE ISSUE?: Missing data"/>
    <x v="1"/>
    <s v="High"/>
    <s v="High"/>
    <d v="2026-07-13T14:50:00"/>
    <s v="PL_TOOLS &gt; AIOPS"/>
    <x v="0"/>
    <d v="2026-07-15T17:36:00"/>
    <x v="5"/>
    <m/>
    <m/>
  </r>
  <r>
    <n v="11238484"/>
    <s v="To update BAC, OU, and POD mapping in AIOps for"/>
    <s v="EMEA &gt; PROD &gt; KDL &gt; PL_TOOLS"/>
    <x v="1"/>
    <x v="0"/>
    <m/>
    <x v="83"/>
    <s v="Medium"/>
    <m/>
    <s v="PLATFORM TOOLS - BASIC DETAILS 1) SHORT DESCRIPTION: To update BAC, OU, and POD mapping in AIOps for 2) DESCRIPTION OF REQUEST: This is a bi-weekly activity to update the changes in AIOps with respect to BAC, OU, POD mapping ensuring the data is accurately reflected in AIOps. Please contact Naren P 3) CAPABILITY/TOOL: Integrated AIOps (AIOPS) 4) KYNDRYL BRIDGE CUSTOMER FOR AIOPS LOOKUP (IF KNOWN): MULTINET - mlt (BAC0002901-TR) es.ams1 5) ORG MARKET: USA 6) ADDITIONAL DETAILS: This is a bi-weekly activity to update the changes in AIOps with respect to BAC, OU, POD mapping ensuring the data is accurately reflected in AIOps. Please contact Naren P 7) NOTIFY: P Naren 8) ATTACHMENTS (EVIDENCE, SCREENSHOTS, LOGS,ETC): RITM input 10 July 2026.xlsx PLATFORM TOOLS - INTEGRATED AIOPS (AIOPS) DETAILS 1) AIOPS LOCATION: Integrated AIOPs - Global 2) AIOPS INSTANCE: Global 3) TYPE OF REQUEST: AIOPS - General Request"/>
    <x v="0"/>
    <s v="Medium"/>
    <s v="Medium"/>
    <d v="2026-07-15T15:48:00"/>
    <s v="PL_TOOLS &gt; AIOPS"/>
    <x v="1"/>
    <d v="2026-07-15T15:48:00"/>
    <x v="0"/>
    <m/>
    <m/>
  </r>
  <r>
    <n v="11235360"/>
    <s v="Requesting Access to Kibana on Staging env"/>
    <s v="EMEA &gt; PROD &gt; KDL &gt; PL_TOOLS"/>
    <x v="0"/>
    <x v="1"/>
    <s v="Piotr KoÅºmin"/>
    <x v="84"/>
    <s v="Medium"/>
    <m/>
    <s v="PLATFORM TOOLS - BASIC DETAILS 1) SHORT DESCRIPTION: Requesting Access to Kibana on Staging env 2) DESCRIPTION OF REQUEST: As a developer on Network and Edge team I need to verify data on staging to make sure my work is working fine. My email: Santiago.gamboa@kyndryl.com 3) CAPABILITY/TOOL: Integrated AIOps (AIOPS) 4) KYNDRYL BRIDGE CUSTOMER FOR AIOPS LOOKUP (IF KNOWN): Kyndryl Shared Customer (NO MF) - wsc (BAM0000CDE-IT) es.ams1 5) ORG MARKET: USA 6) ADDITIONAL DETAILS: 7) NOTIFY: PLATFORM TOOLS - INTEGRATED AIOPS (AIOPS) DETAILS 1) AIOPS LOCATION: Integrated AIOPs - Global 2) AIOPS INSTANCE: Global 3) TYPE OF REQUEST: AIOPS - General Request"/>
    <x v="0"/>
    <s v="Medium"/>
    <s v="Medium"/>
    <d v="2026-07-14T22:06:00"/>
    <s v="PL_TOOLS &gt; AIOPS"/>
    <x v="1"/>
    <d v="2026-07-15T15:44:00"/>
    <x v="0"/>
    <m/>
    <m/>
  </r>
  <r>
    <n v="11238455"/>
    <s v="To update BAC, OU, and POD mapping in AIOps for"/>
    <s v="EMEA &gt; PROD &gt; KDL &gt; PL_TOOLS"/>
    <x v="1"/>
    <x v="0"/>
    <m/>
    <x v="83"/>
    <s v="Medium"/>
    <m/>
    <s v="PLATFORM TOOLS - BASIC DETAILS 1) SHORT DESCRIPTION: To update BAC, OU, and POD mapping in AIOps for 2) DESCRIPTION OF REQUEST: This is a bi-weekly activity to update the changes in AIOps with respect to BAC, OU, POD mapping ensuring the data is accurately reflected in AIOps. Please contact Naren P 3) CAPABILITY/TOOL: Integrated AIOps (AIOPS) 4) KYNDRYL BRIDGE CUSTOMER FOR AIOPS LOOKUP (IF KNOWN): A.P. Moller Maersk - apm (BAC00005D7-DK) es.ams1 5) ORG MARKET: USA 6) ADDITIONAL DETAILS: This is a bi-weekly activity to update the changes in AIOps with respect to BAC, OU, POD mapping ensuring the data is accurately reflected in AIOps. Please contact Naren P 7) NOTIFY: P Naren 8) ATTACHMENTS (EVIDENCE, SCREENSHOTS, LOGS,ETC): RITM input 10 July 2026.xlsx PLATFORM TOOLS - INTEGRATED AIOPS (AIOPS) DETAILS 1) AIOPS LOCATION: Integrated AIOPs - Global 2) AIOPS INSTANCE: Global 3) TYPE OF REQUEST: AIOPS - General Request"/>
    <x v="0"/>
    <s v="Medium"/>
    <s v="Medium"/>
    <d v="2026-07-15T15:41:00"/>
    <s v="PL_TOOLS &gt; AIOPS"/>
    <x v="1"/>
    <d v="2026-07-15T15:41:00"/>
    <x v="0"/>
    <m/>
    <m/>
  </r>
  <r>
    <n v="11184539"/>
    <s v="Need to filter in scope resolver groups for tickets extensions"/>
    <s v="EMEA &gt; PROD &gt; KDL &gt; PL_TOOLS"/>
    <x v="0"/>
    <x v="1"/>
    <s v="Kinga Kirner"/>
    <x v="85"/>
    <s v="Medium"/>
    <m/>
    <s v="PLATFORM TOOLS - BASIC DETAILS 1) SHORT DESCRIPTION: Need to filter in scope resolver groups for tickets extensions 2) DESCRIPTION OF REQUEST: We are encountering errors in the ChatOps channels when generating RCAs for tickets, and we believe this is due to receiving incidents from groups that are out of scope. To ensure we only receive tickets from in-scope groups, we request adding the in-scope resolver groups from the following list to the filter: I-SSO-XX-SMO-OTH-MAUTO I-IS-ES-IDS-SERVCOM I-IS-ES-IDS-N2SYSTEM I-OS-ES-SMO-SMI-MON I-OS-ES-INS-NETWORKING I-IS-ES-IDS-DB I-OS-ES-SMO-SMG-SCCD I-IS-ES-IDS-SEG-EXP I-OS-ES-OPS-MF I-IS-ES-IDS-CMOS I-IS-ES-IMS-DB_TRANAPPL I-IS-ES-IDS-AUTOMAT I-CE-ES-SSM-IPC I-IS-ES-IMS-SYSTEM_TOOLS I-OS-ES-FSO-SALACT-HW I-OS-ES-OPS-SCHED I-IS-ES-IDS-SYSTEM I-OS-ES-OPS-PCT I attach an image of the error in case help 3) CAPABILITY/TOOL: ChatOps 4) ACCOUNT LOOKUP (IF KNOWN): kxb - Kutxabank - Spain - BAC00021F9 - Mkt: Iberia 5) ORG MARKET: Iberia 6) ADDITIONAL DETAILS: 7) NOTIFY: GARCIA ANA BELEN 8) ATTACHMENTS (EVIDENCE, SCREENSHOTS, LOGS,ETC): RCA_error.png PLATFORM TOOLS - CHATOPS DETAILS 1) LOCATION OF CAPABILITY/TOOL INSTANCE: ChatOps - EU 2) TYPE OF REQUEST: General Request"/>
    <x v="0"/>
    <s v="Medium"/>
    <s v="Medium"/>
    <d v="2026-06-30T20:28:00"/>
    <s v="PL_TOOLS &gt; ChatOps"/>
    <x v="1"/>
    <d v="2026-07-15T15:26:00"/>
    <x v="3"/>
    <m/>
    <m/>
  </r>
  <r>
    <n v="11055966"/>
    <s v="PL_Tools Request - Integrated AIOps (AIOPS)"/>
    <s v="EMEA &gt; PROD &gt; KDL &gt; PL_TOOLS"/>
    <x v="0"/>
    <x v="2"/>
    <s v="Praveen Dudam"/>
    <x v="86"/>
    <s v="Medium"/>
    <m/>
    <s v="PLATFORM TOOLS - AIOPS REQUEST DETAILS 1) CAPABILITY/TOOL: Integrated AIOps (AIOPS) 2) POOL NAME: ADAI MANAGED APPS - Delta Air Lines 3) POOL OU ID: 4) INSTANCE (DATA PLANE): was1 (US) 5) AIOPS LOCATION: Integrated AIOPs - NA 6) POOL OWNER NAME: Monica Spagnol Bertini 7) I HAVE ARCHIVED ALL ASSETS IN ALL BAC-BAMS UNDER THIS POOL: No 8) EVIDENCE OF ASSETS ARCHIVED: inventory_operating_system_2026-05-28-11_59_23_AM_BACA60A010-US.csv 9) APPROVAL EMAIL: Re: Approval to Offboard ADAI MANAGED APPS - Delta Air Lines from AIOPS.pdf 10) ADDITIONAL COMMENTS: Assets that still needs to be archived are related to Firewall and network devices. Account has migrated to AWS and the decommission flows on 3.x IBM DC are still ongoing . PLATFORM TOOLS - ADDITIONAL INFORMATION 1) NOTIFY:"/>
    <x v="0"/>
    <s v="Medium"/>
    <s v="Medium"/>
    <d v="2026-05-28T17:30:00"/>
    <s v="PL_TOOLS &gt; AIOPS"/>
    <x v="1"/>
    <d v="2026-07-15T15:22:00"/>
    <x v="6"/>
    <m/>
    <m/>
  </r>
  <r>
    <n v="11232787"/>
    <s v="Ticket Sync Issue : FG"/>
    <s v="EMEA &gt; PROD &gt; KDL &gt; PL_TOOLS"/>
    <x v="0"/>
    <x v="4"/>
    <s v="PUTTA SANJANA"/>
    <x v="87"/>
    <s v="Medium"/>
    <m/>
    <s v="PLATFORM TOOLS - BASIC DETAILS 1) CAPABILITY/TOOL: Integrated AIOps (AIOPS) 2) SHORT DESCRIPTION: Ticket Sync Issue : FG 3) DESCRIPTION OF ISSUE: Multiple tickets are not sync in Future Generalli account please found attached ticket list and take necessary action. Ticket Number GLPi Status Ticket Status Ticket Status Original 10981016 Solved PENDING PENDING 10981017 Solved PENDING PENDING 10981018 Solved PENDING PENDING 10981019 Solved PENDING PENDING 10981022 Solved PENDING PENDING 10981227 Solved PENDING PENDING 10981228 Solved PENDING PENDING 10981229 Solved PENDING PENDING 10981233 Solved PENDING PENDING 10981242 Solved PENDING PENDING 10981244 Solved PENDING PENDING 10981246 Solved PENDING PENDING 10981549 Solved PENDING PENDING 11002567 Solved PENDING PENDING 11013987 Solved NEW NEW 11015072 Solved IN PROGRESS PROCESSING (ASSIGNED) 10942105 Solved PENDING PENDING 10384714 Closed PENDING RESOLVED 10376063 Closed IN PROGRESS RESOLVED 10369929 Closed NEW RESOLVED 10369927 Closed IN PROGRESS RESOLVED 10369592 Closed IN PROGRESS RESOLVED 10369456 Closed PENDING RESOLVED 10369234 Closed IN PROGRESS RESOLVED 10368911 Closed NEW RESOLVED 10366255 Closed NEW RESOLVED 10358822 Closed NEW RESOLVED 4) KYNDRYL BRIDGE CUSTOMER FOR AIOPS LOOKUP (IF KNOWN): Future Genarali - fg1 (BAC0002783-IN) es.che1 5) ORG MARKET: India 6) WATCH LIST: Chitrambalam Radhakrishnan, K DEEPA 7) REPORTED PRIORITY: P3 - Medium (Sev3) 8) ADDITIONAL DETAILS: Find attached ticket list. 9) ATTACHMENTS (EVIDENCE, SCREENSHOTS, LOGS,ETC): FG_Ticket Sycn_AIOPs_GLPI.xlsx PLATFORM TOOLS - INTEGRATED AIOPS (AIOPS) DETAILS 1) AIOPS LOCATION: Integrated AIOPs - IN 2) AIOPS INSTANCE: India 3) AIOPS DATA PLANE: 4) WHERE ON THE WEB PAGE IS THE ISSUE LOCATED?: Home &gt; IT Health Indicators 5) WHAT SUBCATEGORY OF THE LOCATION IS THE ISSUE RELATED TO?: P1/P2 active Incidents 6) URL OF THE WEB PAGE DISPLAYING THE ISSUE: 7) WHAT IS THE ISSUE?: Incorrect data"/>
    <x v="0"/>
    <s v="Medium"/>
    <s v="Medium"/>
    <d v="2026-07-14T10:36:00"/>
    <s v="PL_TOOLS &gt; AIOPS"/>
    <x v="0"/>
    <d v="2026-07-15T14:37:00"/>
    <x v="0"/>
    <m/>
    <m/>
  </r>
  <r>
    <n v="11139353"/>
    <s v="PL_Tools Request - Integrated AIOps (AIOPS)"/>
    <s v="EMEA &gt; PROD &gt; KDL &gt; PL_TOOLS"/>
    <x v="2"/>
    <x v="1"/>
    <s v="Theodoros Gkekas"/>
    <x v="44"/>
    <s v="Medium"/>
    <m/>
    <s v="PLATFORM TOOLS - CUSTOMER DETAILS 1) CAPABILITY/TOOL: Integrated AIOps (AIOPS) 2) ACCOUNT LOOKUP (IF KNOWN): *Not a customer account / not found 3) GSMA CODE: 4) NAME: 5) BAC / BAM ID: BAC0000108 6) COUNTRY: 7) AIOPS LOCATION: Integrated AIOPs - EU PLATFORM TOOLS - AIOPS REQUEST DETAILS 1) AIOPS DATA PLANE: 2) IMPACTED COUNTRY: Strategic Markets 3) ACCOUNT DPE NAME: Chandana.Dey@kyndryl.com 4) ACCOUNT DPE EMAIL: Chandana.Dey@kyndryl.com 5) DPE EMAIL APPROVAL ATTACHMENT: Inbox - Kavya Sanam - Outlook.pdf 6) DESCRIPTION: Hi Team, Could you please help in getting the below BAC ID offboarded as its an inactive BAC ID in AIOPs. Attached is the approval for the same. Unable to download the offboarding form as it shows access denied. BAC ID OU_I BAC0000108 59108f17feea.1 7) ATTACHED OFFBOARDING FORM: Screenshot 2026-04-28 212904.png PLATFORM TOOLS - ADDITIONAL INFORMATION 1) NOTIFY:"/>
    <x v="0"/>
    <s v="Medium"/>
    <s v="Medium"/>
    <d v="2026-06-18T10:56:00"/>
    <s v="PL_TOOLS &gt; AIOPS"/>
    <x v="1"/>
    <d v="2026-07-15T13:17:00"/>
    <x v="3"/>
    <m/>
    <m/>
  </r>
  <r>
    <n v="11237655"/>
    <s v="Errors using Best Practice dashboard (oldcase-IN10892790)"/>
    <s v="EMEA &gt; PROD &gt; KDL &gt; PL_TOOLS"/>
    <x v="0"/>
    <x v="2"/>
    <s v="Steve Burkhalter"/>
    <x v="88"/>
    <s v="Medium"/>
    <m/>
    <s v="When I open the Best Practice dashboard the main page loads ok. When I click on the SME View tab or the Chief ARchitect &amp; SRE View tab, I get an error. This error happens with all OUs. I am using Edge browser. I did clear cache and cookies and reproduced the issue. Detailed error messages Error: Unable to completely restore the URL, be sure to use the share functionality. at r (https://00be3134ad14.1.account.delivery.kyndryl.net/insights/k/was1/c14722b56e3d/bundles/plugin/kibanaUtils/1.0.0/kibanaUtils.plugin.js:1:14788) at v (https://00be3134ad14.1.account.delivery.kyndryl.net/insights/k/was1/c14722b56e3d/bundles/plugin/kibanaUtils/1.0.0/kibanaUtils.plugin.js:1:15006) at N (https://00be3134ad14.1.account.delivery.kyndryl.net/insights/k/was1/c14722b56e3d/bundles/plugin/kibanaUtils/1.0.0/kibanaUtils.plugin.js:1:15756) at https://00be3134ad14.1.account.delivery.kyndryl.net/insights/k/was1/c14722b56e3d/bundles/plugin/kibanaUtils/1.0.0/kibanaUtils.plugin.js:1:16511 at Array.forEach () at k (https://00be3134ad14.1.account.delivery.kyndryl.net/insights/k/was1/c14722b56e3d/bundles/plugin/kibanaUtils/1.0.0/kibanaUtils.plugin.js:1:16487) at D (https://00be3134ad14.1.account.delivery.kyndryl.net/insights/k/was1/c14722b56e3d/bundles/plugin/kibanaUtils/1.0.0/kibanaUtils.plugin.js:1:16611) at Object.get (https://00be3134ad14.1.account.delivery.kyndryl.net/insights/k/was1/c14722b56e3d/bundles/plugin/kibanaUtils/1.0.0/kibanaUtils.plugin.js:1:19938) at https://00be3134ad14.1.account.delivery.kyndryl.net/insights/k/was1/c14722b56e3d/bundles/plugin/dashboard/1.0.0/dashboard.chunk.110.js:1:482287 at ar (https://00be3134ad14.1.account.delivery.kyndryl.net/insights/k/was1/c14722b56e3d/bundles/plugin/dashboard/1.0.0/dashboard.chunk.110.js:1:485518"/>
    <x v="0"/>
    <s v="Medium"/>
    <s v="Medium"/>
    <d v="2026-07-15T12:55:00"/>
    <s v="PL_TOOLS"/>
    <x v="0"/>
    <d v="2026-07-15T12:55:00"/>
    <x v="0"/>
    <m/>
    <m/>
  </r>
  <r>
    <n v="11160268"/>
    <s v="Inventory count mismatch between TAP and IS"/>
    <s v="EMEA &gt; PROD &gt; KDL &gt; PL_TOOLS"/>
    <x v="2"/>
    <x v="4"/>
    <s v="Mounika Reddy Vemula"/>
    <x v="89"/>
    <s v="Low"/>
    <m/>
    <s v="PLATFORM TOOLS - BASIC DETAILS 1) CAPABILITY/TOOL: Integrated AIOps (AIOPS) 2) SHORT DESCRIPTION: Inventory count mismatch between TAP and IS 3) DESCRIPTION OF ISSUE: Inventory count mismatch between TAP and IS 4) KYNDRYL BRIDGE CUSTOMER FOR AIOPS LOOKUP (IF KNOWN): Royal Enfield - em1 (BAC000303C-IN) es.che1 5) ORG MARKET: India 6) WATCH LIST: Asri Sachin, Saini Chandrashekhar 7) REPORTED PRIORITY: P4 - Low (Sev4) 8) ADDITIONAL DETAILS: 9) ATTACHMENTS (EVIDENCE, SCREENSHOTS, LOGS,ETC): EM1- TAP IS host count mismatch issue- 24 Jun 2026.docx PLATFORM TOOLS - INTEGRATED AIOPS (AIOPS) DETAILS 1) AIOPS LOCATION: Integrated AIOPs - IN 2) AIOPS INSTANCE: India 3) AIOPS DATA PLANE: 4) WHERE ON THE WEB PAGE IS THE ISSUE LOCATED?: Home &gt; Header &gt; Insights &gt; Dashboards 5) WHAT SUBCATEGORY OF THE LOCATION IS THE ISSUE RELATED TO?: Inventory 6) URL OF THE WEB PAGE DISPLAYING THE ISSUE: https://www.kyndryl.com/bridge/aiops/insights/dashboard/5791288f-18f3-4238-a9f5-93dbadc7cea9/ 7) WHAT IS THE ISSUE?: Incorrect data"/>
    <x v="2"/>
    <s v="Low"/>
    <s v="Low"/>
    <d v="2026-06-24T10:07:00"/>
    <s v="PL_TOOLS &gt; AIOPS"/>
    <x v="0"/>
    <d v="2026-07-15T12:31:00"/>
    <x v="3"/>
    <m/>
    <m/>
  </r>
  <r>
    <n v="11236151"/>
    <s v="Pacifico Seguros Peru, Prima, EPS and Grupo Credito SA: Unable to create Client Tool Mapping â€“ role/permission issue"/>
    <s v="EMEA &gt; PROD &gt; KDL &gt; PL_TOOLS"/>
    <x v="0"/>
    <x v="2"/>
    <s v="Ravi Vadapally"/>
    <x v="6"/>
    <s v="Medium"/>
    <m/>
    <s v="Hello team, I am trying to create a new CLIENT TOOL MAPPING in a newly provisioned account. However, despite having access to all the required roles, the system is preventing the operation. When attempting to create the mapping, I receive the following error message: &gt; &quot;CREATE CLIENT TOOL MAPPING FAILED!&quot; &gt; &quot;USER DOES NOT HAVE ROLE TO PERFORM THE OPERATION. PLEASE CONTACT ADMINISTRATOR.&quot; Del Segmt Name Del Segmt ID (BAC ID) GSMA Code GSMA Description Pacifico Seguros Peru DSG00000AE f1d Pacifico Seguros PE_PRIMA AFP DSG00000AB d40 PRIMA AFP Pacifico EPS DSG00000AF 18c Pacifico EPS Grupo Credito S.A. DSG00000B8 76f Grupo Credito S.A."/>
    <x v="0"/>
    <s v="Medium"/>
    <s v="Medium"/>
    <d v="2026-07-15T03:07:00"/>
    <s v="PL_TOOLS &gt; AIOPS"/>
    <x v="1"/>
    <d v="2026-07-15T12:24:00"/>
    <x v="0"/>
    <m/>
    <m/>
  </r>
  <r>
    <n v="11236044"/>
    <s v="Citizens Account. SIP Service Insight Performance Metric is incorrect after putting in exception fields."/>
    <s v="EMEA &gt; PROD &gt; KDL &gt; PL_TOOLS"/>
    <x v="0"/>
    <x v="2"/>
    <s v="Shreyani Ginna"/>
    <x v="90"/>
    <s v="Medium"/>
    <m/>
    <s v="PLATFORM TOOLS - BASIC DETAILS 1) CAPABILITY/TOOL: Integrated AIOps (AIOPS) 2) SHORT DESCRIPTION: Citizens Account. SIP Service Insight Performance Metric is incorrect after putting in exception fields. 3) DESCRIPTION OF ISSUE: There are 11 Hosts in Inventory Service and all of the flags for the two required fields to bring this metric score to Null are completed. They put in the Exception fields for all 11. For IS UDC Collector Required? No UDC Exception Reason: Not Contracted. I have provided a screenshot below. where applied the filters and all are correct. This was updated on July 8th 2026 and is still not updating the SIP metric to Null. Please assist. 4) KYNDRYL BRIDGE CUSTOMER FOR AIOPS LOOKUP (IF KNOWN): Citizens Bank N A - czf (BAC00024CC-US) es.was1 5) ORG MARKET: US Shared 6) WATCH LIST: 7) REPORTED PRIORITY: P3 - Medium (Sev3) 8) ADDITIONAL DETAILS: 3 screenshots attached: One showing IS filtered for the 2 UDC fields for exception entered. One Showing the SIP Metrics with 11 hosts...showing still incorrectly as 0% One showing how the UDC fields looks for each in Related Tools. Same for every one of the 11 hosts. 9) ATTACHMENTS (EVIDENCE, SCREENSHOTS, LOGS,ETC): Screenshot 2026-07-14 at 3.30.09â€¯PM.png, Screenshot 2026-07-14 at 3.31.30â€¯PM.png, Screenshot 2026-07-14 at 3.33.53â€¯PM.png PLATFORM TOOLS - INTEGRATED AIOPS (AIOPS) DETAILS 1) AIOPS LOCATION: Integrated AIOPs - NA 2) AIOPS INSTANCE: Americas 3) AIOPS DATA PLANE: was1 4) WHERE ON THE WEB PAGE IS THE ISSUE LOCATED?: Home &gt; Header &gt; Insights &gt; Dashboards 5) WHAT SUBCATEGORY OF THE LOCATION IS THE ISSUE RELATED TO?: Best Practice 6) URL OF THE WEB PAGE DISPLAYING THE ISSUE: https://www.kyndryl.com/bridge/aiops/insights/dashboard/e1b63309-7b3f-4af2-9add-66566bfab430/ 7) WHAT IS THE ISSUE?: Other"/>
    <x v="0"/>
    <s v="Medium"/>
    <s v="Medium"/>
    <d v="2026-07-15T02:06:00"/>
    <s v="PL_TOOLS &gt; AIOPS"/>
    <x v="0"/>
    <d v="2026-07-15T12:05:00"/>
    <x v="0"/>
    <m/>
    <m/>
  </r>
  <r>
    <n v="11170762"/>
    <s v="Deactivate Smart Matchers in the &quot;Los Portales&quot; account"/>
    <s v="EMEA &gt; PROD &gt; KDL &gt; PL_TOOLS"/>
    <x v="0"/>
    <x v="2"/>
    <s v="Syeda Raffathunnisa"/>
    <x v="91"/>
    <s v="Medium"/>
    <m/>
    <s v="PLATFORM TOOLS - BASIC DETAILS 1) SHORT DESCRIPTION: Deactivate Smart Matchers in the &quot;Los Portales&quot; account 2) DESCRIPTION OF REQUEST: Please support me by disabling Smart Matchers on the &quot;Los Portales&quot; account. I await your confirmation. 3) CAPABILITY/TOOL: Integrated AIOps (AIOPS) 4) KYNDRYL BRIDGE CUSTOMER FOR AIOPS LOOKUP (IF KNOWN): Los Portales - lpt (BAC0002CCD-PE) es.was1 5) ORG MARKET: Strategic Markets 6) ADDITIONAL DETAILS: 7) NOTIFY: PLATFORM TOOLS - INTEGRATED AIOPS (AIOPS) DETAILS 1) AIOPS LOCATION: Integrated AIOPs - NA 2) AIOPS INSTANCE: Americas 3) TYPE OF REQUEST: AIOPS - General Request"/>
    <x v="0"/>
    <s v="Medium"/>
    <s v="Medium"/>
    <d v="2026-06-26T21:52:00"/>
    <s v="PL_TOOLS &gt; AIOPS"/>
    <x v="1"/>
    <d v="2026-07-15T12:03:00"/>
    <x v="3"/>
    <m/>
    <m/>
  </r>
  <r>
    <n v="11223527"/>
    <s v="SYNC issue in F1 Dashboard"/>
    <s v="EMEA &gt; PROD &gt; KDL &gt; PL_TOOLS"/>
    <x v="0"/>
    <x v="2"/>
    <s v="Christine Whelan"/>
    <x v="92"/>
    <s v="Medium"/>
    <m/>
    <s v="Hello Team, We have observed a synchronization issue with the F1 Dashboard related to the Best Practice Performance metric. Currently, our Best Practice score is 89.2% however, the F1 Dashboard is displaying it as 44.7%. Could you please investigate this discrepancy and help resolve the synchronization issue? Kindly let us know if you require any additional information from our side."/>
    <x v="0"/>
    <s v="High"/>
    <s v="Medium"/>
    <d v="2026-07-11T00:50:00"/>
    <s v="PL_TOOLS"/>
    <x v="0"/>
    <d v="2026-07-15T12:02:00"/>
    <x v="2"/>
    <m/>
    <m/>
  </r>
  <r>
    <n v="11237158"/>
    <s v="Revoke approver access for Suncorp Peoplesoft"/>
    <s v="EMEA &gt; PROD &gt; KDL &gt; PL_TOOLS"/>
    <x v="0"/>
    <x v="6"/>
    <s v="Mounika Reddy Vemula"/>
    <x v="93"/>
    <s v="Medium"/>
    <m/>
    <s v="PLATFORM TOOLS - BASIC DETAILS 1) SHORT DESCRIPTION: Revoke approver access for Suncorp Peoplesoft 2) DESCRIPTION OF REQUEST: Please revoke approver access for in ARMS as I am not supporting the account. Suncorp Peoplesoft 85ae2a773dcc.1 3) CAPABILITY/TOOL: Integrated AIOps (AIOPS) 4) KYNDRYL BRIDGE CUSTOMER FOR AIOPS LOOKUP (IF KNOWN): Suncorp Peoplesoft - sn6 (BAM0002712-AU) es.syd1 5) ORG MARKET: Strategic Markets 6) ADDITIONAL DETAILS: 7) NOTIFY: PLATFORM TOOLS - INTEGRATED AIOPS (AIOPS) DETAILS 1) AIOPS LOCATION: Integrated AIOPs - AP 2) AIOPS INSTANCE: Asia Pacific 3) TYPE OF REQUEST: AIOPS - ARMS"/>
    <x v="0"/>
    <s v="Medium"/>
    <s v="Medium"/>
    <d v="2026-07-15T11:02:00"/>
    <s v="PL_TOOLS &gt; AIOPS"/>
    <x v="1"/>
    <d v="2026-07-15T11:11:00"/>
    <x v="0"/>
    <m/>
    <m/>
  </r>
  <r>
    <n v="11223515"/>
    <s v="Need admin access for Client Tool Mapping on the OU GCS - N&amp;E â€“ GSNI, USA (GCSNNWCUS-GSNI)"/>
    <s v="EMEA &gt; PROD &gt; KDL &gt; PL_TOOLS"/>
    <x v="0"/>
    <x v="2"/>
    <s v="Ravi Vadapally"/>
    <x v="51"/>
    <s v="Medium"/>
    <m/>
    <m/>
    <x v="0"/>
    <s v="Medium"/>
    <s v="Medium"/>
    <d v="2026-07-11T00:46:00"/>
    <s v="PL_TOOLS"/>
    <x v="1"/>
    <d v="2026-07-15T01:28:00"/>
    <x v="2"/>
    <m/>
    <m/>
  </r>
  <r>
    <n v="11234901"/>
    <s v="RCA: Repeated Access Issues in ARMS"/>
    <s v="EMEA &gt; PROD &gt; KDL &gt; PL_TOOLS"/>
    <x v="0"/>
    <x v="2"/>
    <s v="Ravi Vadapally"/>
    <x v="94"/>
    <s v="Medium"/>
    <m/>
    <s v="PLATFORM TOOLS - BASIC DETAILS 1) SHORT DESCRIPTION: RCA: Repeated Access Issues in ARMS 2) DESCRIPTION OF REQUEST: IGNORE ACCOUNT SELECTION. GLPI does not have a multi or &quot;all&quot; account selection on a required field. Team, A standard response we get for ARMS access issues is to revoke and request the access again. This should not be considered a valid solution. There is clearly an underlying system issue that needs to be addressed. I would like to request that this issue is documented and fixed so that ARMS works as expected without users wasting time trying to get access they already have and then having to revoke and wait again for approvals etc etc etc. Please let me know if any additional information is needed. Thanks 3) CAPABILITY/TOOL: Integrated AIOps (AIOPS) 4) KYNDRYL BRIDGE CUSTOMER FOR AIOPS LOOKUP (IF KNOWN): Advanced Delivery - Americas - i1p, i3p (BAC0002FA5-US) es.was1 5) ORG MARKET: US Shared 6) ADDITIONAL DETAILS: This is for ALL ACCOUNTS. Not the selected account. This is an ARMS issue. Please do not forward to the wrong team. 7) NOTIFY: 8) ATTACHMENTS (EVIDENCE, SCREENSHOTS, LOGS,ETC): Screenshot 2026-07-14 193801.png, Screenshot 2026-07-14 193627.png, Screenshot 2026-07-14 193616.png, Screenshot 2026-07-14 193552.png, Screenshot 2026-07-14 193520.png PLATFORM TOOLS - INTEGRATED AIOPS (AIOPS) DETAILS 1) AIOPS LOCATION: Integrated AIOPs - NA 2) AIOPS INSTANCE: Americas 3) TYPE OF REQUEST: AIOPS - ARMS"/>
    <x v="0"/>
    <s v="Medium"/>
    <s v="Medium"/>
    <d v="2026-07-14T19:40:00"/>
    <s v="PL_TOOLS &gt; AIOPS"/>
    <x v="1"/>
    <d v="2026-07-15T01:10:00"/>
    <x v="0"/>
    <m/>
    <m/>
  </r>
  <r>
    <n v="11190426"/>
    <s v="Platform Onboarding error"/>
    <s v="EMEA &gt; PROD &gt; KDL &gt; PL_TOOLS"/>
    <x v="0"/>
    <x v="2"/>
    <s v="Ravi Vadapally"/>
    <x v="95"/>
    <s v="Medium"/>
    <m/>
    <s v="PLATFORM TOOLS - BASIC DETAILS 1) SHORT DESCRIPTION: Platform Onboarding error 2) DESCRIPTION OF REQUEST: In the PLATFORM ONBOARDING, the account GCS - S&amp;R - ZERO TRUST IDENTITY, GLOBAL (GCSSSEPWW-ZT) (see the attachments) is being reported to Brazil, when it should be set up as a GLOBAL ACCOUNT, and it need to be corrected because it is causing many PBI and Metrics deviations. 3) CAPABILITY/TOOL: Integrated AIOps (AIOPS) 4) KYNDRYL BRIDGE CUSTOMER FOR AIOPS LOOKUP (IF KNOWN): IMI IAMaas (Global Iam as a Service) - rox (BAM0004EB6-US) es.was1 5) ORG MARKET: US Shared 6) ADDITIONAL DETAILS: 7) NOTIFY: 8) ATTACHMENTS (EVIDENCE, SCREENSHOTS, LOGS,ETC): Image (2).png, image (3).png PLATFORM TOOLS - INTEGRATED AIOPS (AIOPS) DETAILS 1) AIOPS LOCATION: Integrated AIOPs - NA 2) AIOPS INSTANCE: Americas 3) TYPE OF REQUEST: AIOPS - General Request"/>
    <x v="0"/>
    <s v="Medium"/>
    <s v="Medium"/>
    <d v="2026-07-02T06:06:00"/>
    <s v="PL_TOOLS &gt; AIOPS"/>
    <x v="1"/>
    <d v="2026-07-15T00:50:00"/>
    <x v="1"/>
    <m/>
    <m/>
  </r>
  <r>
    <n v="11211735"/>
    <s v="Laurentian - ServiceNow-Netcool-Extension"/>
    <s v="EMEA &gt; PROD &gt; KDL &gt; PL_TOOLS"/>
    <x v="2"/>
    <x v="2"/>
    <s v="Vivien Lee"/>
    <x v="96"/>
    <s v="Medium"/>
    <m/>
    <s v="PLATFORM TOOLS - BASIC DETAILS 1) SHORT DESCRIPTION: Laurentian - ServiceNow-Netcool-Extension 2) DESCRIPTION OF REQUEST: &lt;?xml version='1.0' encoding='UTF-8'?&gt;&lt;SOAP-ENV:Envelope xmlns:SOAP-ENV=\&quot;http://schemas.xmlsoap.org/soap/envelope/\&quot; xmlns:xsd=\&quot;http://www.w3.org/2001/XMLSchema\&quot; xmlns:xsi=\&quot;http://www.w3.org/2001/XMLSchema-instance\&quot;&gt;&lt;SOAP-ENV:Body&gt;&lt;insertResponse xmlns=\&quot;http://www.service-now.com/u_incident_import\&quot;&gt;&lt;sys_id&gt;ebd3c16d939543501d5736a74dba10bf&lt;/sys_id&gt;&lt;table&gt;incident&lt;/table&gt;&lt;display_name&gt;number&lt;/display_name&gt;&lt;display_value&gt;INC0512843&lt;/display_value&gt;&lt;status&gt;error&lt;/status&gt;&lt;error_message&gt;DATA POLICY EXCEPTION: â€ƒâ€ƒTHE FOLLOWING FIELDS ARE MANDATORY: ADDITIONAL COMMENTS&lt;/error_message&gt;&lt;/insertResponse&gt;&lt;/SOAP-ENV:Body&gt;&lt;/SOAP-ENV:Envelope&gt;&quot; copy netcool option name=&quot;resolution&quot; and to &quot;comments&quot; for closure requests Please assign to Vivien.Lee@kyndryl.com 3) CAPABILITY/TOOL: Integration Services (ISG) 4) ACCOUNT LOOKUP (IF KNOWN): bql - Banque Laurentienne - Canada - BAC0000291 - Mkt: Canada 5) ORG MARKET: US Shared 6) ADDITIONAL DETAILS: 7) NOTIFY: PLATFORM TOOLS - INTEGRATION SERVICES (ISG) DETAILS 1) LOCATION OF CAPABILITY/TOOL INSTANCE: IS/Ext - NA Satellite 2) TYPE OF REQUEST: General Request"/>
    <x v="0"/>
    <s v="Medium"/>
    <s v="Medium"/>
    <d v="2026-07-08T03:21:00"/>
    <s v="PL_TOOLS &gt; ISG"/>
    <x v="1"/>
    <d v="2026-07-14T23:25:00"/>
    <x v="2"/>
    <m/>
    <m/>
  </r>
  <r>
    <n v="11213779"/>
    <s v="Zerto Resilency Dashboard is not populating latest data"/>
    <s v="EMEA &gt; PROD &gt; KDL &gt; PL_TOOLS"/>
    <x v="0"/>
    <x v="2"/>
    <s v="Syeda Raffathunnisa"/>
    <x v="57"/>
    <s v="Low"/>
    <m/>
    <s v="PLATFORM TOOLS - BASIC DETAILS 1) CAPABILITY/TOOL: Integrated AIOps (AIOPS) 2) SHORT DESCRIPTION: Zerto Resilency Dashboard is not populating latest data 3) DESCRIPTION OF ISSUE: Zerto Resilency Dashboard is not populating latest data We have 2000+ VMs onboarded and 500+ VPGs created in the Zerto tool. All these details are not available in Zerto Dashboard. Some of the fields showing as blank. Screenshot attached for more information. 4) KYNDRYL BRIDGE CUSTOMER FOR AIOPS LOOKUP (IF KNOWN): Kaiser Permanente - kph, kpt, kp2 (BAC0000A78-US) es.was1 5) ORG MARKET: US Shared 6) WATCH LIST: 7) REPORTED PRIORITY: P4 - Low (Sev4) 8) ADDITIONAL DETAILS: 9) ATTACHMENTS (EVIDENCE, SCREENSHOTS, LOGS,ETC): Zerto Dashboard.png PLATFORM TOOLS - INTEGRATED AIOPS (AIOPS) DETAILS 1) AIOPS LOCATION: Integrated AIOPs - NA 2) AIOPS INSTANCE: Americas 3) AIOPS DATA PLANE: 4) WHERE ON THE WEB PAGE IS THE ISSUE LOCATED?: Home &gt; Header &gt; Insights &gt; Dashboards 5) WHAT SUBCATEGORY OF THE LOCATION IS THE ISSUE RELATED TO?: Data Processing 6) URL OF THE WEB PAGE DISPLAYING THE ISSUE: 7) WHAT IS THE ISSUE?: Incorrect data"/>
    <x v="2"/>
    <s v="Low"/>
    <s v="Low"/>
    <d v="2026-07-08T15:15:00"/>
    <s v="PL_TOOLS &gt; AIOPS"/>
    <x v="0"/>
    <d v="2026-07-14T18:00:00"/>
    <x v="2"/>
    <m/>
    <m/>
  </r>
  <r>
    <n v="11206579"/>
    <s v="Unable to view Network HW EOL/EOS on Bridge"/>
    <s v="EMEA &gt; PROD &gt; KDL &gt; PL_TOOLS"/>
    <x v="2"/>
    <x v="2"/>
    <s v="Kathyayini Kamath"/>
    <x v="97"/>
    <s v="Medium"/>
    <m/>
    <s v="PLATFORM TOOLS - BASIC DETAILS 1) CAPABILITY/TOOL: Integrated AIOps (AIOPS) 2) SHORT DESCRIPTION: Unable to view Network HW EOL/EOS on Bridge 3) DESCRIPTION OF ISSUE: Devices from network category are not listed on Hardware section so we are not able to review network hardware EOL/EOS information. 4) KYNDRYL BRIDGE CUSTOMER FOR AIOPS LOOKUP (IF KNOWN): Gerdau Ameristeel US Inc - gna (BAC0000B69-US) es.was1 5) ORG MARKET: Strategic Markets 6) WATCH LIST: das Chagas Vecchia Luciano Augusto, Lourenco Glauce Kelly, Flavio Maceron Antonio 7) REPORTED PRIORITY: P2 - High (Sev2) 8) ADDITIONAL DETAILS: Multiple accounts affected. 9) ATTACHMENTS (EVIDENCE, SCREENSHOTS, LOGS,ETC): Screenshot 2026-07-06 170240.png PLATFORM TOOLS - INTEGRATED AIOPS (AIOPS) DETAILS 1) AIOPS LOCATION: Integrated AIOPs - NA 2) AIOPS INSTANCE: Americas 3) AIOPS DATA PLANE: 4) WHERE ON THE WEB PAGE IS THE ISSUE LOCATED?: Home &gt; Header &gt; Insights &gt; Dashboards &gt; All Dashboards 5) WHAT SUBCATEGORY OF THE LOCATION IS THE ISSUE RELATED TO?: EOL EOS Consolidated 6) URL OF THE WEB PAGE DISPLAYING THE ISSUE: 7) WHAT IS THE ISSUE?: Missing data"/>
    <x v="0"/>
    <s v="High"/>
    <s v="Medium"/>
    <d v="2026-07-07T01:38:00"/>
    <s v="PL_TOOLS &gt; AIOPS"/>
    <x v="0"/>
    <d v="2026-07-14T17:35:00"/>
    <x v="2"/>
    <m/>
    <m/>
  </r>
  <r>
    <n v="11185178"/>
    <s v="Total Automation Performance was fixed with servers added to exception. But suddenly the score dropped to 0%."/>
    <s v="EMEA &gt; PROD &gt; KDL &gt; PL_TOOLS"/>
    <x v="0"/>
    <x v="2"/>
    <s v="Praveen Dudam"/>
    <x v="98"/>
    <s v="Medium"/>
    <m/>
    <s v="PLATFORM TOOLS - BASIC DETAILS 1) CAPABILITY/TOOL: Integrated AIOps (AIOPS) 2) SHORT DESCRIPTION: Total Automation Performance was fixed with servers added to exception. But suddenly the score dropped to 0%. 3) DESCRIPTION OF ISSUE: Total Automation Performance was fixed with servers added to exception. But suddenly the score dropped to 0%. 2 servers are showing Customer Exception (Denied) count which is clueless for the team. Please help us fix this and TAP is published again as - instead of 0%. 4) KYNDRYL BRIDGE CUSTOMER FOR AIOPS LOOKUP (IF KNOWN): Allianz Technology of America - at5 (BAC0002368-US) es.was1 5) ORG MARKET: USA 6) WATCH LIST: 7) REPORTED PRIORITY: P3 - Medium (Sev3) 8) ADDITIONAL DETAILS: TAP 2.0 should be excepted as the account has no Ansible activity. We have added the necessary technical exception for 16 servers and 42 Non-Contracted Exceptions that covers total 58 servers. We have no clue what is these 2 servers that are added in &quot;Denied&quot; exception. Help required to sort it out. 9) ATTACHMENTS (EVIDENCE, SCREENSHOTS, LOGS,ETC): image (2).png PLATFORM TOOLS - INTEGRATED AIOPS (AIOPS) DETAILS 1) AIOPS LOCATION: Integrated AIOPs - NA 2) AIOPS INSTANCE: Americas 3) AIOPS DATA PLANE: NA3 4) WHERE ON THE WEB PAGE IS THE ISSUE LOCATED?: Home &gt; Header &gt; Insights &gt; Dashboards &gt; All Dashboards 5) WHAT SUBCATEGORY OF THE LOCATION IS THE ISSUE RELATED TO?: CACF: Automation Performance Dashboard 6) URL OF THE WEB PAGE DISPLAYING THE ISSUE: https://www.kyndryl.com/bridge/aiops/insights/dashboard/es.was1.0f643dac-e48b-4151-88d5-3b1a64dd0ba8?_a=(filters:!((query:(match_phrase:(tenant_id:%27BAC0002368-US%27)))))&amp;bootstrap=false 7) WHAT IS THE ISSUE?: Other"/>
    <x v="0"/>
    <s v="Medium"/>
    <s v="Medium"/>
    <d v="2026-06-30T23:40:00"/>
    <s v="PL_TOOLS &gt; AIOPS"/>
    <x v="0"/>
    <d v="2026-07-14T17:33:00"/>
    <x v="3"/>
    <m/>
    <m/>
  </r>
  <r>
    <n v="11189003"/>
    <s v="Import api giving 404 for Banco Sabadell MX, Autobuses de Oriente accounts in PROD that is blocking bulk import operation"/>
    <s v="EMEA &gt; PROD &gt; KDL &gt; PL_TOOLS"/>
    <x v="2"/>
    <x v="2"/>
    <s v="Madicherla Akhil Radha Krishna"/>
    <x v="99"/>
    <s v="Medium"/>
    <m/>
    <s v="Title: Policy Service Import API returns CORS error on Sabadel data plane Environment: Sabadel account data plane (fc735281287.1.account.delivery.kyndryl.net) Issue: - API endpoint: GET/POST /api/policy/v1/import - Error: &quot;Access-Control-Allow-Origin header missing&quot; - Origin: https://www.kyndryl.com - Status: Request blocked by CORS policy Observation: - Same endpoint works on [other data plane] (765a4a306f64) ex: ACME account - Issue isolated to Banco Sabadell MX, Autobuses de Orientedata plane instance Request: - Verify Policy Service backend is running on Sabadel data plane - Confirm CORS middleware is properly configured (Platform env var = &quot;bridge&quot;) - Check if Sabadel deployment has correct CorsAllowOrigins config"/>
    <x v="0"/>
    <s v="Medium"/>
    <s v="Medium"/>
    <d v="2026-07-01T20:32:00"/>
    <s v="PL_TOOLS &gt; AIOPS"/>
    <x v="0"/>
    <d v="2026-07-14T14:12:00"/>
    <x v="3"/>
    <m/>
    <m/>
  </r>
  <r>
    <n v="11186774"/>
    <s v="PL_Tools Request - Integrated AIOps (AIOPS)"/>
    <s v="EMEA &gt; PROD &gt; KDL &gt; PL_TOOLS"/>
    <x v="2"/>
    <x v="1"/>
    <s v="Theodoros Gkekas"/>
    <x v="100"/>
    <s v="Low"/>
    <m/>
    <s v="PLATFORM TOOLS - CUSTOMER DETAILS 1) CAPABILITY/TOOL: Integrated AIOps (AIOPS) 2) ACCOUNT LOOKUP (IF KNOWN): Valitor - vlt (BAC00038CF-DK) es.ams1 3) AIOPS LOCATION: Integrated AIOPs - EU PLATFORM TOOLS - AIOPS REQUEST DETAILS 1) AIOPS DATA PLANE: 2) IMPACTED COUNTRY: Strategic Markets 3) ACCOUNT DPE NAME: Adam Rzasa 4) ACCOUNT DPE EMAIL: adam.rzasa@kyndryl.com 5) DPE EMAIL APPROVAL ATTACHMENT: dpe approval aiops offboarding.pdf 6) DESCRIPTION: Myself, as Valitor DPE, approves offboarding since the contract expired in April. 7) ATTACHED OFFBOARDING FORM: offboarding_decomm_form 4.docx PLATFORM TOOLS - ADDITIONAL INFORMATION 1) NOTIFY:"/>
    <x v="2"/>
    <s v="Medium"/>
    <s v="Low"/>
    <d v="2026-07-01T12:31:00"/>
    <s v="PL_TOOLS &gt; AIOPS"/>
    <x v="1"/>
    <d v="2026-07-14T13:41:00"/>
    <x v="3"/>
    <m/>
    <m/>
  </r>
  <r>
    <n v="11233257"/>
    <s v="Inventory data is not flowing"/>
    <s v="EMEA &gt; PROD &gt; KDL &gt; PL_TOOLS"/>
    <x v="0"/>
    <x v="3"/>
    <s v="Mounika Reddy Vemula"/>
    <x v="101"/>
    <s v="Medium"/>
    <m/>
    <s v="PLATFORM TOOLS - BASIC DETAILS 1) CAPABILITY/TOOL: Integrated AIOps (AIOPS) 2) SHORT DESCRIPTION: Inventory data is not flowing 3) DESCRIPTION OF ISSUE: Hi team, Good day! Regarding Sumishin SBI Net Bank account, they are using two GSMA code &quot;sbv&quot; and &quot;cb0&quot; for CACF. Inventory data of &quot;sbv&quot; is fed to AIOps correctly, but Inventory data &quot;cb0&quot; is not fed to AIOps. It may be an issue on the CACF side, but could you please check whether there are any problems with the configuration on AIOps? Thank you in advance. 4) KYNDRYL BRIDGE CUSTOMER FOR AIOPS LOOKUP (IF KNOWN): Sumishin SBI Net Bank - sbn (BAC00006C6-JP) es.jpn1 5) ORG MARKET: Japan 6) WATCH LIST: 7) REPORTED PRIORITY: P3 - Medium (Sev3) 8) ADDITIONAL DETAILS: PLATFORM TOOLS - INTEGRATED AIOPS (AIOPS) DETAILS 1) AIOPS LOCATION: Integrated AIOPs - JP 2) AIOPS INSTANCE: Japan 3) AIOPS DATA PLANE: Japan 4) WHERE ON THE WEB PAGE IS THE ISSUE LOCATED?: Home &gt; Header &gt; Automation &gt; Inventory 5) WHAT SUBCATEGORY OF THE LOCATION IS THE ISSUE RELATED TO?: Inventory 6) URL OF THE WEB PAGE DISPLAYING THE ISSUE: 7) WHAT IS THE ISSUE?: Missing data"/>
    <x v="0"/>
    <s v="Medium"/>
    <s v="Medium"/>
    <d v="2026-07-14T13:16:00"/>
    <s v="PL_TOOLS &gt; AIOPS"/>
    <x v="0"/>
    <d v="2026-07-14T13:24:00"/>
    <x v="0"/>
    <m/>
    <m/>
  </r>
  <r>
    <n v="11209679"/>
    <s v="Customer access to Kyndryl Bridge AiOps"/>
    <s v="EMEA &gt; PROD &gt; KDL &gt; PL_TOOLS"/>
    <x v="0"/>
    <x v="7"/>
    <s v="Kathyayini Kamath"/>
    <x v="85"/>
    <s v="Medium"/>
    <m/>
    <s v="PLATFORM TOOLS - BASIC DETAILS 1) CAPABILITY/TOOL: Kyndryl Bridge 2) SHORT DESCRIPTION: Customer access to Kyndryl Bridge AiOps 3) DESCRIPTION OF ISSUE: i am simulating customer access to Kyndryl bridge AiOps Yesterday i send invitation from my admin personal account to user ydttojnynwihqxjhoq@onldm.net and after create oneid user the subscription seems active but i canÂ´t see any dashboard these are the ones we have exposed: * Event triage analysis * Sunrise insight incident tickets * Mainframe Batch Metrics Insights (BMI) * Mainframe Level of Automation (LoA) * Home F1 But i canÂ´t see anything. Attached evidences of new user roles, exposed dashboards,... 4) CUSTOMER IMPACTED?: Yes 5) CUSTOMER BLUEID LOOKUP (IF KNOWN): kxb - Kutxabank - Spain - BAC00021F9 - Mkt: Iberia 6) ORG MARKET: Iberia 7) WATCH LIST: Gokulan Haridas 8) REPORTED PRIORITY: P2 - High (Sev2) 9) ADDITIONAL DETAILS: The customer has requested access, and we do not know if they will be able to view the exposed dashboards. 10) ATTACHMENTS (EVIDENCE, SCREENSHOTS, LOGS,ETC): image (7).png, image (8).png, image (9).png, image (10).png PLATFORM TOOLS - KYNDRYL BRIDGE DETAILS 1) LOCATION OF CAPABILITY/TOOL INSTANCE: Kyndryl Bridge Global 2) ISSUE CATEGORY: General"/>
    <x v="0"/>
    <s v="High"/>
    <s v="Medium"/>
    <d v="2026-07-07T18:11:00"/>
    <s v="PL_TOOLS &gt; KB"/>
    <x v="0"/>
    <d v="2026-07-14T12:15:00"/>
    <x v="2"/>
    <m/>
    <m/>
  </r>
  <r>
    <n v="11232842"/>
    <s v="Enable Private Network Access to Dev Elasticsearch from Bridge KPR kb-dev-sp-kpr-wus2-az"/>
    <s v="EMEA &gt; PROD &gt; KDL &gt; PL_TOOLS"/>
    <x v="0"/>
    <x v="2"/>
    <s v="Praveen Dudam"/>
    <x v="102"/>
    <s v="Medium"/>
    <m/>
    <s v="We have an Trino application running in BRIDGE KPR KB-DEV-SP-KPR-WUS2-AZ that needs to connect to the Elasticsearch cluster hosted in AIops dev environment we need: * Expose the Elasticsearch endpoint so it is reachable from BRIDGE KPR KB-DEV-SP-KPR-WUS2-AZ over the private network (without public internet exposure). * Configure the required network access (NSG/Firewall/Network Policies) to allow traffic from BRIDGE KPR KB-DEV-SP-KPR-WUS2-AZ to the Elasticsearch endpoint on the required port (typically 9200 for HTTPS). Ensure the Elasticsearch hostname is resolvable from BRIDGE KPR KB-DEV-SP-KPR-WUS2-AZ (Private DNS or equivalent). we have raise a same request to outbound to AIops dev environment https://github.com/kyndryl-cto/bdg-eng-tops-stdops-DevOps-Operations/issues/15802"/>
    <x v="0"/>
    <s v="Medium"/>
    <s v="Medium"/>
    <d v="2026-07-14T10:58:00"/>
    <s v="PL_TOOLS &gt; AIOPS"/>
    <x v="1"/>
    <d v="2026-07-14T11:57:00"/>
    <x v="0"/>
    <m/>
    <m/>
  </r>
  <r>
    <n v="11218395"/>
    <s v="AIOps pages in DEV env for ACME don't load (they're loading in loop forever)"/>
    <s v="EMEA &gt; PROD &gt; KDL &gt; PL_TOOLS"/>
    <x v="0"/>
    <x v="2"/>
    <s v="Kathyayini Kamath"/>
    <x v="103"/>
    <s v="Medium"/>
    <m/>
    <s v="PLATFORM TOOLS - BASIC DETAILS 1) CAPABILITY/TOOL: Integrated AIOps (AIOPS) 2) SHORT DESCRIPTION: AIOps pages in DEV env for ACME don't load (they're loading in loop forever) 3) DESCRIPTION OF ISSUE: When I'm trying to access to one of the pages under the AIOps url in DEV environment (for ACME account) https://www-poc.kyndryl.com/bridge/aiops it doesn't finish to load completely. It starts to load , and it goes in loop forever. I seems that it tries to load and re-load multiple times in loop forever. (I attached a screenshot) The urls that I tried to access are: the IS page: https://www-poc.kyndryl.com/bridge/aiops/process/inventory the home page: https://www-poc.kyndryl.com/bridge/aiops/home the extension page: https://www-poc.kyndryl.com/bridge/aiops/extensions/overview The page I most interested now for my work is that of IS (Inventory Service). 4) KYNDRYL BRIDGE CUSTOMER FOR AIOPS LOOKUP (IF KNOWN): International Traders ACME - ace (BAC000ACME) es.ams1 5) WATCH LIST: 6) REPORTED PRIORITY: P2 - High (Sev2) 7) ADDITIONAL DETAILS: This is a critical issue because is blocking my development and testing work. I'm developing an extension, a customization of a global one, that sends data from ServiceNow CMDB to IS for an account of big Client in Italy. They are waiting me. I need to see the data on IS and see the Extension page so it's imperative to solve this issue soon. URLs affected: the IS page: https://www-poc.kyndryl.com/bridge/aiops/process/inventory the home page: https://www-poc.kyndryl.com/bridge/aiops/home the extension page: https://www-poc.kyndryl.com/bridge/aiops/extensions/overview 8) ATTACHMENTS (EVIDENCE, SCREENSHOTS, LOGS,ETC): Page_not_loading.png PLATFORM TOOLS - INTEGRATED AIOPS (AIOPS) DETAILS 1) AIOPS LOCATION: Integrated AIOPs - ACME 2) AIOPS DATA PLANE: 3) WHERE ON THE WEB PAGE IS THE ISSUE LOCATED?: Home &gt; Header &gt; Home 4) WHAT SUBCATEGORY OF THE LOCATION IS THE ISSUE RELATED TO?: Please enter text or url of the in Additional details 5) URL OF THE WEB PAGE DISPLAYING THE ISSUE: https://www-poc.kyndryl.com/bridge/aiops/process/inventory 6) WHAT IS THE ISSUE?: Other"/>
    <x v="0"/>
    <s v="High"/>
    <s v="Medium"/>
    <d v="2026-07-09T15:45:00"/>
    <s v="PL_TOOLS &gt; AIOPS"/>
    <x v="0"/>
    <d v="2026-07-14T11:31:00"/>
    <x v="2"/>
    <m/>
    <m/>
  </r>
  <r>
    <n v="11229255"/>
    <s v="Secrets onboarding for AIOPs dev_was1"/>
    <s v="EMEA &gt; PROD &gt; KDL &gt; PL_TOOLS"/>
    <x v="0"/>
    <x v="2"/>
    <s v="Syeda Raffathunnisa"/>
    <x v="104"/>
    <s v="Medium"/>
    <m/>
    <s v="Hi team, need to onboard a service token to the vault path. * VAULT:/dx-platform-delivery/development/insights-service/data-plane/bridge-subject VAULT:/dx-platform-delivery/development/insights-service/data-plane/bridge-subject-api-key in development enviornment Thank you"/>
    <x v="0"/>
    <s v="Medium"/>
    <s v="Medium"/>
    <d v="2026-07-13T13:27:00"/>
    <s v="PL_TOOLS &gt; AIOPS"/>
    <x v="1"/>
    <d v="2026-07-14T11:04:00"/>
    <x v="5"/>
    <m/>
    <m/>
  </r>
  <r>
    <n v="11229806"/>
    <s v="oe1#dws-inc-chg-correlate#P-260725873-Deployment is stuck and therefore is no longer progressing."/>
    <s v="EMEA &gt; PROD &gt; KDL &gt; PL_TOOLS"/>
    <x v="0"/>
    <x v="1"/>
    <s v="GÃ¡bor Szabolcs NÃ©meth"/>
    <x v="16"/>
    <s v="Medium"/>
    <m/>
    <s v="Business Service: Integrated AIOps (AIOPS) Capability Tool: Integrated AIOPs - EU -------------------------------------------- FirstOccurrence: 2026-07-13 09:35:25 Summary: P-260725873-Deployment is stuck and therefore is no longer progressing. Severity: Major ResourceId: dws-inc-chg-correlate ServerSerial: 10461327 ServerName: NCO_PRI CustomerCode: oe1 InstanceSituation: Deployment stuck URL: https://arg88263.live.dynatrace.com/#problems/problemdetails;pid=-8386168914273327919_1783935120000V2 NodeAlias: {Tags[IP]} ComponentType: {Tags[OS]} OSType: AlertKey: Deployment stuck TicketGroup: K-PLTools-AIOPs-EU-Delivery-Support"/>
    <x v="0"/>
    <s v="Medium"/>
    <s v="Medium"/>
    <d v="2026-07-13T15:36:00"/>
    <s v="Inquiry / Help"/>
    <x v="0"/>
    <d v="2026-07-13T20:36:00"/>
    <x v="5"/>
    <m/>
    <m/>
  </r>
  <r>
    <n v="11153348"/>
    <s v="PL_Tools Request - Integrated AIOps (AIOPS)"/>
    <s v="EMEA &gt; PROD &gt; KDL &gt; PL_TOOLS"/>
    <x v="0"/>
    <x v="1"/>
    <s v="Eva KlusoÅˆovÃ¡"/>
    <x v="105"/>
    <s v="Medium"/>
    <m/>
    <s v="PLATFORM TOOLS - BASIC DETAILS 1) SHORT DESCRIPTION: Hausbank Delivery Partner update 2) DESCRIPTION OF REQUEST: Dear Support! In November 2025 there was a new Delivery Partner appointed for Hausbank account - Olaf Piewig. Olaf replaced Gerd Lohmann. Still he was not added as owner/admin of the respective tenant. Could you please update the tenant config with Olaf's profile &lt;olaf.piewig@kyndryl.com&gt;? Mateusz Rebelinski Advanced Delivery Director at Germany Market 3) CAPABILITY/TOOL: Integrated AIOps (AIOPS) 4) KYNDRYL BRIDGE CUSTOMER FOR AIOPS LOOKUP (IF KNOWN): Hausbank - hbm (BAC0003A2C-DE) es.ams1 5) ORG MARKET: Germany 6) ADDITIONAL DETAILS: 7) NOTIFY: Piewig Olaf PLATFORM TOOLS - INTEGRATED AIOPS (AIOPS) DETAILS 1) AIOPS LOCATION: Integrated AIOPs - EU 2) AIOPS INSTANCE: Europe 3) TYPE OF REQUEST: AIOPS - Self Service / Admin Access"/>
    <x v="0"/>
    <s v="Medium"/>
    <s v="Medium"/>
    <d v="2026-06-22T17:22:00"/>
    <s v="PL_TOOLS &gt; AIOPS"/>
    <x v="1"/>
    <d v="2026-07-13T14:23:00"/>
    <x v="3"/>
    <m/>
    <m/>
  </r>
  <r>
    <n v="11222490"/>
    <s v="AIOps SME View Export Failure"/>
    <s v="EMEA &gt; PROD &gt; KDL &gt; PL_TOOLS"/>
    <x v="2"/>
    <x v="1"/>
    <s v="LukÃ¡Å¡ PernickÃ½"/>
    <x v="106"/>
    <s v="Medium"/>
    <m/>
    <s v="Hello, I am experiencing an issue when downloading SME VIEW REPORTS from AIOps. CONTEXT: * This morning, SME View report downloads worked successfully for TWO VMS. * After that, all subsequent download attempts started failing. * The issue is reproducible across multiple VMs. * I am using the export/download button located in the top-right corner of the SME View dashboard (see attached screenshot). EXAMPLE: * VM: lopk0302an01_redhat_os_linux * Dashboard: SME View / Security Findings * GSMA filter: b3k * Time range: Last 15 days EXPECTED BEHAVIOR: * The SME View report should be generated and downloaded successfully. OBSERVED BEHAVIOR: * The download process fails after having worked correctly for the first two VMs. IMPACT: * I am unable to export the SME View reports required for compliance review and remediation analysis for the CRPNPAC environment. ATTACHMENT: * Screenshot showing the SME View dashboard and the export button being used. Could you please investigate whether: * There is any export quota or limitation in SME View. * There is a known issue affecting the export functionality. * There is an account-specific issue affecting the CRPNPAC AIOps environment. Thank you for your support. Best regards, LAURENT MASSIN Senior Lead, Customer Technical Solutioner Kyndryl France"/>
    <x v="0"/>
    <s v="Medium"/>
    <s v="Medium"/>
    <d v="2026-07-10T17:40:00"/>
    <s v="PL_TOOLS &gt; AIOPS"/>
    <x v="0"/>
    <d v="2026-07-13T14:02:00"/>
    <x v="2"/>
    <m/>
    <m/>
  </r>
  <r>
    <n v="11193634"/>
    <s v="PL_Tools Request - Integrated AIOps (AIOPS)"/>
    <s v="EMEA &gt; PROD &gt; KDL &gt; PL_TOOLS"/>
    <x v="0"/>
    <x v="2"/>
    <s v="Jagadeesh Ponnaganti"/>
    <x v="107"/>
    <s v="Medium"/>
    <m/>
    <s v="PLATFORM TOOLS - CUSTOMER DETAILS 1) CAPABILITY/TOOL: Integrated AIOps (AIOPS) 2) ACCOUNT LOOKUP (IF KNOWN): Daimler Trucks NA (DTNA) - dtn (BAC0001068-US) es.was1 3) AIOPS LOCATION: Integrated AIOPs - NA PLATFORM TOOLS - AIOPS REQUEST DETAILS 1) AIOPS DATA PLANE: 2) IMPACTED COUNTRY: USA 3) ACCOUNT DPE NAME: Juliana Kelly Oliveira Prado 4) ACCOUNT DPE EMAIL: jukelly@kyndryl.com 5) DPE EMAIL APPROVAL ATTACHMENT: DPE Approval_Daimler Trucks.pdf 6) DESCRIPTION: Account Termination effective on June 13th, 2026. The pre-requisite steps have been completed by the account and email copy of the acknowledgement has been attached herein. 7) ATTACHED OFFBOARDING FORM: DTNA.AIOps_offboarding_decomm_form V216.docx PLATFORM TOOLS - ADDITIONAL INFORMATION 1) NOTIFY: 2) ATTACHMENTS (EVIDENCE, SCREENSHOTS, LOGS,ETC): AIOps_Prerequisite Steps Completion Status_DTNA.pdf"/>
    <x v="0"/>
    <s v="Medium"/>
    <s v="Medium"/>
    <d v="2026-07-02T21:37:00"/>
    <s v="PL_TOOLS &gt; AIOPS"/>
    <x v="1"/>
    <d v="2026-07-13T13:47:00"/>
    <x v="1"/>
    <m/>
    <m/>
  </r>
  <r>
    <n v="11010830"/>
    <s v="PL_Tools Request - Integrated AIOps (AIOPS)"/>
    <s v="EMEA &gt; PROD &gt; KDL &gt; PL_TOOLS"/>
    <x v="0"/>
    <x v="2"/>
    <s v="Jagadeesh Ponnaganti"/>
    <x v="108"/>
    <s v="Medium"/>
    <m/>
    <s v="FORM DATA PLATFORM TOOLS - BASIC DETAILS 1) SHORT DESCRIPTION : Remove the Nessus Hoteles Peru S.A. account from AIOps. 2) DESCRIPTION OF REQUEST : Remove the Nessus Hoteles Peru S.A. account from AIOps because the account is no longer with Kyndryl. 3) CAPABILITY/TOOL : Integrated AIOps (AIOPS) 4) KYNDRYL BRIDGE CUSTOMER FOR AIOPS LOOKUP (IF KNOWN) : Nessus Hoteles Peru S.A - nsu (BAC00010E9-PE) es.was1 5) ORG MARKET : Strategic Markets 6) ADDITIONAL DETAILS : The inventory no longer has any CIs. 7) NOTIFY : 8) ATTACHMENTS (EVIDENCE, SCREENSHOTS, LOGS,ETC) : Attached document PLATFORM TOOLS - INTEGRATED AIOPS (AIOPS) DETAILS 9) AIOPS LOCATION : Integrated AIOPs - NA 10) AIOPS INSTANCE : Americas 11) TYPE OF REQUEST : AIOPS - General Request"/>
    <x v="0"/>
    <s v="Medium"/>
    <s v="Medium"/>
    <d v="2026-05-19T03:30:00"/>
    <s v="PL_TOOLS &gt; AIOPS"/>
    <x v="1"/>
    <d v="2026-07-13T13:47:00"/>
    <x v="6"/>
    <m/>
    <m/>
  </r>
  <r>
    <n v="10966808"/>
    <s v="PL_Tools Request - Integrated AIOps (AIOPS)"/>
    <s v="EMEA &gt; PROD &gt; KDL &gt; PL_TOOLS"/>
    <x v="0"/>
    <x v="2"/>
    <s v="Jagadeesh Ponnaganti"/>
    <x v="44"/>
    <s v="Medium"/>
    <m/>
    <s v="FORM DATA PLATFORM TOOLS - CUSTOMER DETAILS 1) CAPABILITY/TOOL : Integrated AIOps (AIOPS) 2) ACCOUNT LOOKUP (IF KNOWN) : *Not a customer account / not found 3) GSMA CODE : 4) NAME : 5) BAC / BAM ID : BAC000249F 6) COUNTRY : 7) AIOPS LOCATION : Integrated AIOPs - NA PLATFORM TOOLS - AIOPS REQUEST DETAILS 8) AIOPS DATA PLANE : 9) IMPACTED COUNTRY : USA 10) ACCOUNT DPE NAME : cristina.raquel.cruz.camino@kyndryl.com 11) ACCOUNT DPE EMAIL : cristina.raquel.cruz.camino@kyndryl.com 12) DPE EMAIL APPROVAL ATTACHMENT : Attached document 13) DESCRIPTION : Hi Team, Could you please get the below mentioned BAC along with its OU to be offboarded as this is an inactive BAC and unassigned to any account in BPM. Attached is the approval of DPE. Unable to access the offboarding for the screenshot for the same. BAC ID ou_id BAC000249F 1a35405c77c0.1 14) ATTACHED OFFBOARDING FORM : Attached document PLATFORM TOOLS - ADDITIONAL INFORMATION 15) NOTIFY : 16) ATTACHMENTS (EVIDENCE, SCREENSHOTS, LOGS,ETC) : No attached document"/>
    <x v="0"/>
    <s v="Medium"/>
    <s v="Medium"/>
    <d v="2026-05-08T09:51:00"/>
    <s v="PL_TOOLS &gt; AIOPS"/>
    <x v="1"/>
    <d v="2026-07-13T13:47:00"/>
    <x v="7"/>
    <m/>
    <m/>
  </r>
  <r>
    <n v="11215526"/>
    <s v="Inconsistency in Account Name Display in Patch Report"/>
    <s v="EMEA &gt; PROD &gt; KDL &gt; PL_TOOLS"/>
    <x v="0"/>
    <x v="2"/>
    <s v="Rupal Chauhan"/>
    <x v="109"/>
    <s v="Medium"/>
    <m/>
    <s v="PLATFORM TOOLS - BASIC DETAILS 1) CAPABILITY/TOOL: Kyndryl Bridge 2) SHORT DESCRIPTION: Inconsistency in Account Name Display in Patch Report 3) DESCRIPTION OF ISSUE: When downloading the patch report from KB , it is observed that the internal account name is not displayed correctly and appears preceded by a hyphen (&quot;-&quot;), as shown below: -(GCS - Cloud - Shared Infrastructure - Distributed &amp; N/W) This behavior prevents the proper visualization and identification of the account within the report. Please investigate the root cause of this issue and implement the necessary corrections to ensure the account name is displayed properly. 4) CUSTOMER IMPACTED?: No 5) CUSTOMER BLUEID LOOKUP (IF KNOWN): bog - SDC - CO- GTS Services Delivery Infrastructure &amp; Cost Pools - Colombia - BAC000269E - Mkt: Strategic Market 6) ORG MARKET: Strategic Markets 7) WATCH LIST: Colorado Tatiana, Carballo Carponi Maria Ines 8) REPORTED PRIORITY: P1 - Critical (Sev1) 9) ADDITIONAL DETAILS: When downloading the patch report from KB , it is observed that the internal account name is not displayed correctly and appears preceded by a hyphen (&quot;-&quot;), as shown below: -(GCS - Cloud - Shared Infrastructure - Distributed &amp; N/W) This behavior prevents the proper visualization and identification of the account within the report. Please investigate the root cause of this issue and implement the necessary corrections to ensure the account name is displayed properly. 10) ATTACHMENTS (EVIDENCE, SCREENSHOTS, LOGS,ETC): Detalle Abiertos por cuenta Vulnerability Details Summary -7Julio.xlsx PLATFORM TOOLS - KYNDRYL BRIDGE DETAILS 1) LOCATION OF CAPABILITY/TOOL INSTANCE: Kyndryl Bridge Global 2) ISSUE CATEGORY: General"/>
    <x v="0"/>
    <s v="Very High"/>
    <s v="Medium"/>
    <d v="2026-07-08T22:10:00"/>
    <s v="PL_TOOLS &gt; KB"/>
    <x v="0"/>
    <d v="2026-07-13T13:34:00"/>
    <x v="2"/>
    <m/>
    <m/>
  </r>
  <r>
    <n v="11134922"/>
    <s v="PL_Tools Request - Integrated AIOps (AIOPS)"/>
    <s v="EMEA &gt; PROD &gt; KDL &gt; PL_TOOLS"/>
    <x v="0"/>
    <x v="2"/>
    <s v="Praveen Dudam"/>
    <x v="44"/>
    <s v="Medium"/>
    <m/>
    <s v="PLATFORM TOOLS - CUSTOMER DETAILS 1) CAPABILITY/TOOL: Integrated AIOps (AIOPS) 2) ACCOUNT LOOKUP (IF KNOWN): *Not a customer account / not found 3) GSMA CODE: 4) NAME: 5) BAC / BAM ID: BAC00025EA 6) COUNTRY: 7) AIOPS LOCATION: Integrated AIOPs - NA PLATFORM TOOLS - AIOPS REQUEST DETAILS 1) AIOPS DATA PLANE: 2) IMPACTED COUNTRY: USA 3) ACCOUNT DPE NAME: clmoreno@kyndryl.com 4) ACCOUNT DPE EMAIL: clmoreno@kyndryl.com 5) DPE EMAIL APPROVAL ATTACHMENT: Offboarding of Inactive BAC ID.pdf 6) DESCRIPTION: Hi Team, Could you please help in getting the below BAC and its respective OU to be offboarded as it is inactive BAC in BPM and not assigned to any account. Its shows the DPE as aegirald@kyndryl.com and there is no other DPE for this, however when checked with him for the approval and he wrote he is not the DPE for this. Attached the mail. BAC ID ou_id BAC00025EA 1ace803ea372.1 Unable to attach the offboarding form. 7) ATTACHED OFFBOARDING FORM: Screenshot 2026-04-28 212904.png PLATFORM TOOLS - ADDITIONAL INFORMATION 1) NOTIFY:"/>
    <x v="0"/>
    <s v="Medium"/>
    <s v="Medium"/>
    <d v="2026-06-17T10:29:00"/>
    <s v="PL_TOOLS &gt; AIOPS"/>
    <x v="1"/>
    <d v="2026-07-13T12:01:00"/>
    <x v="3"/>
    <m/>
    <m/>
  </r>
  <r>
    <n v="11221289"/>
    <s v="change the approver DPE name for EY from Fazil Mohammed(Fazil.Mohammed1@kyndryl.com) to Neha Jain(Neha.Jain111@kyndryl.com). Fazil moved out of EY."/>
    <s v="EMEA &gt; PROD &gt; KDL &gt; PL_TOOLS"/>
    <x v="2"/>
    <x v="1"/>
    <s v="Eva KlusoÅˆovÃ¡"/>
    <x v="110"/>
    <s v="Medium"/>
    <m/>
    <s v="PLATFORM TOOLS - BASIC DETAILS 1) SHORT DESCRIPTION: change the approver DPE name for EY from Fazil Mohammed(Fazil.Mohammed1@kyndryl.com) to Neha Jain(Neha.Jain111@kyndryl.com). Fazil moved out of EY. 2) DESCRIPTION OF REQUEST: 3) CAPABILITY/TOOL: Integrated AIOps (AIOPS) 4) KYNDRYL BRIDGE CUSTOMER FOR AIOPS LOOKUP (IF KNOWN): EY - ncy (BAC0000EDF-US) es.ams1 5) ORG MARKET: Germany 6) ADDITIONAL DETAILS: change the approver DPE name for EY from Fazil Mohammed(Fazil.Mohammed1@kyndryl.com) to Neha Jain(Neha.Jain111@kyndryl.com). Fazil moved out of EY. 7) NOTIFY: PLATFORM TOOLS - INTEGRATED AIOPS (AIOPS) DETAILS 1) AIOPS LOCATION: Integrated AIOPs - EU 2) AIOPS INSTANCE: Europe 3) TYPE OF REQUEST: AIOPS - ARMS"/>
    <x v="0"/>
    <s v="Medium"/>
    <s v="Medium"/>
    <d v="2026-07-10T10:48:00"/>
    <s v="PL_TOOLS &gt; AIOPS"/>
    <x v="1"/>
    <d v="2026-07-13T11:59:00"/>
    <x v="2"/>
    <m/>
    <m/>
  </r>
  <r>
    <n v="11215671"/>
    <s v="PL_TOOLS - Request - AIOPS - Request Offboarding from Integrated AIOPS"/>
    <s v="EMEA &gt; PROD &gt; KDL &gt; PL_TOOLS"/>
    <x v="0"/>
    <x v="2"/>
    <s v="Praveen Dudam"/>
    <x v="111"/>
    <s v="Medium"/>
    <m/>
    <s v="PLATFORM TOOLS - CUSTOMER DETAILS 1) CAPABILITY/TOOL: Integrated AIOps (AIOPS) 2) ACCOUNT LOOKUP (IF KNOWN): AUTOMOTORES Y ANEXOS S.A. - AYASA - ay1 (BAC0002DF0-EC) es.was1 3) AIOPS LOCATION: Integrated AIOPs - NA PLATFORM TOOLS - AIOPS REQUEST DETAILS 1) AIOPS DATA PLANE: AY1 Account ended contract 2) IMPACTED COUNTRY: Strategic Markets 3) ACCOUNT DPE NAME: Ena Del Carmen Espinoza Torres 4) ACCOUNT DPE EMAIL: Ena.Espinoza@kyndryl.com 5) DPE EMAIL APPROVAL ATTACHMENT: AY1 - Ayasa DPE approval offborading.pdf, AY1 - Inventory CERO.jpg, AY1 - Without Extention.jpg 6) DESCRIPTION: The account ended contract. Inventory is empty and Extension isn't setup to account. 7) ATTACHED OFFBOARDING FORM: AY1 - offboarding_decomm_form 4.docx PLATFORM TOOLS - ADDITIONAL INFORMATION 1) NOTIFY: Sierra Marino Edgar Andrei"/>
    <x v="0"/>
    <s v="Medium"/>
    <s v="Medium"/>
    <d v="2026-07-08T23:09:00"/>
    <s v="PL_TOOLS &gt; AIOPS"/>
    <x v="1"/>
    <d v="2026-07-13T11:57:00"/>
    <x v="2"/>
    <m/>
    <m/>
  </r>
  <r>
    <n v="11218275"/>
    <s v="PL_TOOLS - Request - AIOPS - Change/Update existing Dashboard Role Approvers"/>
    <s v="EMEA &gt; PROD &gt; KDL &gt; PL_TOOLS"/>
    <x v="2"/>
    <x v="1"/>
    <s v="Eva KlusoÅˆovÃ¡"/>
    <x v="112"/>
    <s v="Medium"/>
    <m/>
    <s v="PLATFORM TOOLS - ACCOUNT DETAILS 1) CAPABILITY/TOOL: Integrated AIOps (AIOPS) 2) ACCOUNT LOOKUP (IF KNOWN): mo3 - Mota Engil (BAC100A010-PT) 3) AIOPS LOCATION: Integrated AIOPs - EU PLATFORM TOOLS - AIOPS REQUEST DETAILS 1) DASHBOARD URL: https://www.kyndryl.com/bridge/console/ 2) DASHBOARD NAME: Mota Engil 3) AIOPS DATA PLANE: 4) IMPACTED COUNTRY: Iberia 5) EMAIL ADDRESS OF THE NEW APPROVER(S): eduardo.azevedo@kyndryl.com 6) DASHBOARD NAME IN ARMS: Mota Engil 7) WHAT CHANGE IS NEEDED FOR THE APPROVER (ADD, REMOVE, BOTH ETC.)?: Nuno.figueiredo@kyndryl.com left Kyndryl and I'm the new DPE for Mota Engil account. I need to approve all ARMS request. Can you please make this update? 8) ROLE NAME IN ARMS: DPE 9) BUSINESS JUSTIFICATION: Nuno.figueiredo@kyndryl.com left Kyndryl and I'm the new DPE for Mota Engil account. I need to approve all ARMS request. Can you please make this update? 10) TARGET COMPLETION DATE: 2026-07-10 11) Q/A POINT OF CONTACT: AZEVEDO EDUARDO 12) ACCEPTANCE CRITERIA DETAILS: PLATFORM TOOLS - ADDITIONAL INFORMATION 1) NOTIFY:"/>
    <x v="0"/>
    <s v="Medium"/>
    <s v="Medium"/>
    <d v="2026-07-09T15:20:00"/>
    <s v="PL_TOOLS &gt; AIOPS"/>
    <x v="1"/>
    <d v="2026-07-13T11:38:00"/>
    <x v="2"/>
    <m/>
    <m/>
  </r>
  <r>
    <n v="11179554"/>
    <s v="Offboarding - AY1 Account"/>
    <s v="EMEA &gt; PROD &gt; KDL &gt; PL_TOOLS"/>
    <x v="0"/>
    <x v="2"/>
    <s v="Praveen Dudam"/>
    <x v="111"/>
    <s v="Medium"/>
    <m/>
    <s v="PLATFORM TOOLS - BASIC DETAILS 1) SHORT DESCRIPTION: Offboarding - AY1 Account 2) DESCRIPTION OF REQUEST: AY1 account end contract Mar/26 and Inventory off boarding finished. Attach approve DPE. 3) CAPABILITY/TOOL: Integrated AIOps (AIOPS) 4) KYNDRYL BRIDGE CUSTOMER FOR AIOPS LOOKUP (IF KNOWN): AUTOMOTORES Y ANEXOS S.A. - AYASA - ay1 (BAC0002DF0-EC) es.was1 5) ORG MARKET: Strategic Markets 6) ADDITIONAL DETAILS: AY1 account end contract Mar/26 and Inventory process off boarding finished. Attach approve DPE. 7) NOTIFY: Sierra Marino Edgar Andrei 8) ATTACHMENTS (EVIDENCE, SCREENSHOTS, LOGS,ETC): DPE Ayasa - Proceso de offboarding Bridge AIOps.pdf PLATFORM TOOLS - INTEGRATED AIOPS (AIOPS) DETAILS 1) AIOPS LOCATION: Integrated AIOPs - NA 2) AIOPS INSTANCE: Americas 3) TYPE OF REQUEST: AIOPS - General Request"/>
    <x v="0"/>
    <s v="Medium"/>
    <s v="Medium"/>
    <d v="2026-06-29T19:39:00"/>
    <s v="PL_TOOLS &gt; AIOPS"/>
    <x v="1"/>
    <d v="2026-07-10T12:25:00"/>
    <x v="3"/>
    <m/>
    <m/>
  </r>
  <r>
    <n v="11211114"/>
    <s v="PL_TOOLS - Request - AIOPS - Request Offboarding from Integrated AIOPS"/>
    <s v="EMEA &gt; PROD &gt; KDL &gt; PL_TOOLS"/>
    <x v="0"/>
    <x v="2"/>
    <s v="Praveen Dudam"/>
    <x v="113"/>
    <s v="Medium"/>
    <m/>
    <s v="PLATFORM TOOLS - CUSTOMER DETAILS 1) CAPABILITY/TOOL: Integrated AIOps (AIOPS) 2) ACCOUNT LOOKUP (IF KNOWN): Baker Hughes - bhi (BAC0000D26-US) es.was1 3) AIOPS LOCATION: Integrated AIOPs - NA PLATFORM TOOLS - AIOPS REQUEST DETAILS 1) AIOPS DATA PLANE: 2) IMPACTED COUNTRY: USA 3) ACCOUNT DPE NAME: Jim Barina 4) ACCOUNT DPE EMAIL: Jim.Barina@kyndryl.com 5) DPE EMAIL APPROVAL ATTACHMENT: FW: Baker Hughes .pdf 6) DESCRIPTION: The account has been terminated for over a year. 7) ATTACHED OFFBOARDING FORM: offboarding_decomm_form 4.docx PLATFORM TOOLS - ADDITIONAL INFORMATION 1) NOTIFY:"/>
    <x v="0"/>
    <s v="Medium"/>
    <s v="Medium"/>
    <d v="2026-07-07T22:28:00"/>
    <s v="PL_TOOLS &gt; AIOPS"/>
    <x v="1"/>
    <d v="2026-07-10T01:30:00"/>
    <x v="2"/>
    <m/>
    <m/>
  </r>
  <r>
    <n v="11210715"/>
    <s v="Incorrect action-escm deployment on Release July 2nd"/>
    <s v="EMEA &gt; PROD &gt; KDL &gt; PL_TOOLS"/>
    <x v="0"/>
    <x v="2"/>
    <s v="Christine Whelan"/>
    <x v="114"/>
    <s v="Medium"/>
    <m/>
    <s v="PLATFORM TOOLS - BASIC DETAILS 1) CAPABILITY/TOOL: Integrated AIOps (AIOPS) 2) SHORT DESCRIPTION: Incorrect action-escm deployment on Release July 2nd 3) DESCRIPTION OF ISSUE: The deployment instructions for action-escm (BUG 2616578) stated. AMS1 / WAS1 / CHE1 / SYD1 / JAPAN ONLY / US ONLY GITHUB: https://github.com/kyndryl-cto/action-escm PR: https://github.com/kyndryl-cto/action-escm/pull/764 BUILD NUMBER: https://github.com/kyndryl-cto/action-escm/actions/runs/28532206048 IMAGE: action-escm:20260701162505-a6890cf HELM CHART: action-escm-25.5.58-20260701162505-a6890cf.tgz The deployment proved to be successfull at all the instances listed above, but not for was2. Please refer to platform-operator validation performed - attached to this incident Please deploy WAS2 again according to the instructions above. 4) KYNDRYL BRIDGE CUSTOMER FOR AIOPS LOOKUP (IF KNOWN): ACS State Healthcare / CA-MMIS - cmm (BAC0000CAD-US) es.was2 5) ORG MARKET: USA 6) WATCH LIST: Barahona Mendoza Ever Ivan 7) REPORTED PRIORITY: P2 - High (Sev2) 8) ADDITIONAL DETAILS: Validations can be checked at Teams chat: EPSA-020726 One account was identified above but the impact is to all accounts under this instance. 9) ATTACHMENTS (EVIDENCE, SCREENSHOTS, LOGS,ETC): Release Jul2nd - EPSA issue WAS2.docx PLATFORM TOOLS - INTEGRATED AIOPS (AIOPS) DETAILS 1) AIOPS LOCATION: Integrated AIOPs - NA 2) AIOPS INSTANCE: US Restricted 3) AIOPS DATA PLANE: WAS2 4) WHERE ON THE WEB PAGE IS THE ISSUE LOCATED?: Home &gt; Header &gt; Home 5) WHAT SUBCATEGORY OF THE LOCATION IS THE ISSUE RELATED TO?: Others 6) URL OF THE WEB PAGE DISPLAYING THE ISSUE: https://www.kyndryl.com/bridge/aiops/home/ 7) WHAT IS THE ISSUE?: Other"/>
    <x v="1"/>
    <s v="High"/>
    <s v="High"/>
    <d v="2026-07-07T19:52:00"/>
    <s v="PL_TOOLS &gt; AIOPS"/>
    <x v="0"/>
    <d v="2026-07-10T01:01:00"/>
    <x v="2"/>
    <m/>
    <m/>
  </r>
  <r>
    <n v="11205435"/>
    <s v="DPE update"/>
    <s v="EMEA &gt; PROD &gt; KDL &gt; PL_TOOLS"/>
    <x v="2"/>
    <x v="1"/>
    <s v="Eva KlusoÅˆovÃ¡"/>
    <x v="21"/>
    <s v="Medium"/>
    <m/>
    <s v="PLATFORM TOOLS - BASIC DETAILS 1) SHORT DESCRIPTION: DPE update 2) DESCRIPTION OF REQUEST: Hi Team I would like to ask the DPE NAME TO BE updated As it preventing the current DPE to update his inventory, as approvals in ARMS are still going for the previous DPE that is in Long medical leave. Please replace Sofia Blanc (old DPE) by ricardo.fernandes@kyndryl.com. Thank you 3) CAPABILITY/TOOL: Integrated AIOps (AIOPS) 4) KYNDRYL BRIDGE CUSTOMER FOR AIOPS LOOKUP (IF KNOWN): Banco Portugues de Gestao - bgp (BAC00035B5-PT) es.ams1 5) ORG MARKET: Iberia 6) ADDITIONAL DETAILS: 7) NOTIFY: 8) ATTACHMENTS (EVIDENCE, SCREENSHOTS, LOGS,ETC): Screenshot 2026-07-06 140102.png PLATFORM TOOLS - INTEGRATED AIOPS (AIOPS) DETAILS 1) AIOPS LOCATION: Integrated AIOPs - EU 2) AIOPS INSTANCE: Europe 3) TYPE OF REQUEST: AIOPS - ARMS"/>
    <x v="0"/>
    <s v="Medium"/>
    <s v="Medium"/>
    <d v="2026-07-06T18:34:00"/>
    <s v="PL_TOOLS &gt; AIOPS"/>
    <x v="1"/>
    <d v="2026-07-09T22:55:00"/>
    <x v="1"/>
    <m/>
    <m/>
  </r>
  <r>
    <n v="10983462"/>
    <s v="PL_Tools Request - Integrated AIOps (AIOPS)"/>
    <s v="EMEA &gt; PROD &gt; KDL &gt; PL_TOOLS"/>
    <x v="0"/>
    <x v="2"/>
    <m/>
    <x v="115"/>
    <s v="Medium"/>
    <m/>
    <s v="FORM DATA PLATFORM TOOLS - AIOPS REQUEST DETAILS 1) CAPABILITY/TOOL : Integrated AIOps (AIOPS) 2) ORG UNIT : Commercial Shared 3) POOL NAME : GCS - S&amp;R - Incident Response and Forensics, Offensive Security (GCSSSEPWW-IR&amp;F) 4) ATTACH THE CSI TEMPLATE RECEIVED FROM THE MAILBOX : Attached document 5) INSTANCE (DATA PLANE) : was1 (US) 6) AIOPS LOCATION : Integrated AIOPs - NA 7) POD COUNTRY OR PRACTICE : Security &amp; Resiliency Practice 8) POD NAME : Security &amp; Resiliency Practice POD (Cybersecurity Incident Response &amp; Forensics) 9) POD OWNER EMAIL : john.whitted@kyndryl.com 10) BAC BAM GSMA DETAILS : Attached document 11) PRIMARY BAC : DSG0000017 ACCOUNT CONTACT DETAILS 12) PRIMARY BAC OWNER (DEFAULT POOL OWNER/ ARMS APPROVER) EMAIL ID : john.whitted@kyndryl.com 13) ADDITIONAL ACCOUNT ADMIN (ARMS APPROVER 1) EMAIL ID : 14) ADDITIONAL ACCOUNT ADMIN (ARMS APPROVER 2) EMAIL ID : 15) POOL SRE EMAIL ID : Jeffrey.Walko@kyndryl.com 16) APPROVAL EMAIL ATTACHMENT : Attached document TOOL MAPPING 17) IPC TOOL : GLPI 18) EVENT MANAGEMENT TOOL : Other 19) CACF ONBOARDING : GSMAs marked Yes above 20) DO YOU HAVE MAINFRAME (POOL LEVEL) : No PLATFORM TOOLS - ADDITIONAL INFORMATION 21) NOTIFY : Jeffrey.Walko@kyndryl.com 22) ADDITIONAL DETAILS : 23) ATTACHMENTS (EVIDENCE, SCREENSHOTS, LOGS,ETC) : No attached document"/>
    <x v="0"/>
    <s v="Medium"/>
    <s v="Medium"/>
    <d v="2026-05-13T20:10:00"/>
    <s v="PL_TOOLS &gt; AIOPS"/>
    <x v="1"/>
    <d v="2026-07-08T20:26:00"/>
    <x v="7"/>
    <m/>
    <m/>
  </r>
  <r>
    <n v="11134806"/>
    <s v="There is a popâ€‘up from Elastic that appears every time. Please check and take the necessary action."/>
    <s v="EMEA &gt; PROD &gt; KDL &gt; PL_TOOLS"/>
    <x v="0"/>
    <x v="2"/>
    <s v="Steve Burkhalter"/>
    <x v="116"/>
    <s v="Medium"/>
    <m/>
    <s v="There is a popâ€‘up from Elastic that appears every time. Please check and take the necessary action. Please refer the attached file for your reference."/>
    <x v="0"/>
    <s v="Medium"/>
    <s v="Medium"/>
    <d v="2026-06-17T09:39:00"/>
    <s v="PL_TOOLS"/>
    <x v="0"/>
    <d v="2026-07-08T19:51:00"/>
    <x v="3"/>
    <m/>
    <m/>
  </r>
  <r>
    <n v="11125758"/>
    <s v="PL_Tools Request - Integrated AIOps (AIOPS)"/>
    <s v="EMEA &gt; PROD &gt; KDL &gt; PL_TOOLS"/>
    <x v="2"/>
    <x v="1"/>
    <s v="Eva KlusoÅˆovÃ¡"/>
    <x v="44"/>
    <s v="Medium"/>
    <m/>
    <s v="PLATFORM TOOLS - BASIC DETAILS 1) SHORT DESCRIPTION: Removal of BAC from OU 2) DESCRIPTION OF REQUEST: Hi Team, Could you please remove the BAC: BAC0003647 from the OU: 481ac22f03e0.1 as its a closed BAC in BPM. Attached is the approval from DPE. 3) CAPABILITY/TOOL: Integrated AIOps (AIOPS) 4) KYNDRYL BRIDGE CUSTOMER FOR AIOPS LOOKUP (IF KNOWN): *Not a customer account / not found 5) ORG MARKET: Strategic Markets 6) ADDITIONAL DETAILS: 7) NOTIFY: 8) ATTACHMENTS (EVIDENCE, SCREENSHOTS, LOGS,ETC): Confirmation Required_ Offboarding of Closed BACs in BPM - Kavya Sanam - Outlook.pdf PLATFORM TOOLS - INTEGRATED AIOPS (AIOPS) DETAILS 1) AIOPS LOCATION: Integrated AIOPs - EU 2) AIOPS INSTANCE: Europe 3) TYPE OF REQUEST: AIOPS - General Request"/>
    <x v="0"/>
    <s v="Medium"/>
    <s v="Medium"/>
    <d v="2026-06-15T11:28:00"/>
    <s v="PL_TOOLS &gt; AIOPS"/>
    <x v="1"/>
    <d v="2026-07-08T12:14:00"/>
    <x v="6"/>
    <m/>
    <m/>
  </r>
  <r>
    <n v="11180192"/>
    <s v="onboarding of FedEx account to AIOps"/>
    <s v="EMEA &gt; PROD &gt; KDL &gt; PL_TOOLS"/>
    <x v="0"/>
    <x v="2"/>
    <s v="Mohammad Kutaish"/>
    <x v="117"/>
    <s v="Medium"/>
    <m/>
    <s v="PLATFORM TOOLS - BASIC DETAILS 1) SHORT DESCRIPTION: onboarding of FedEx account to AIOps 2) DESCRIPTION OF REQUEST: Hello, We are currently in the process of setting up AIOps within the FedEx systems. Can you please assist with on-boarding the FedEx account and guild me what are the steps process. Account Details : customer_name = &quot;FedEx Corporate Services Inc.&quot; contract_id = &quot;BAC0002302&quot; country_code = &quot;US&quot; gsma_code = &quot;fdx&quot; Thanks Suresh G 3) CAPABILITY/TOOL: Integrated AIOps (AIOPS) 4) KYNDRYL BRIDGE CUSTOMER FOR AIOPS LOOKUP (IF KNOWN): Federal Express - fdx (BAC0002302-US) es.was1 5) ORG MARKET: US Shared 6) ADDITIONAL DETAILS: 7) NOTIFY: Manohara Murali, CHANDRASEKARAN DURAIMURUGAN PLATFORM TOOLS - INTEGRATED AIOPS (AIOPS) DETAILS 1) AIOPS LOCATION: Integrated AIOPs - NA 2) AIOPS INSTANCE: US Restricted 3) TYPE OF REQUEST: AIOPS - General Request"/>
    <x v="0"/>
    <s v="Medium"/>
    <s v="Medium"/>
    <d v="2026-06-29T23:15:00"/>
    <s v="PL_TOOLS &gt; AIOPS"/>
    <x v="1"/>
    <d v="2026-07-07T19:48:00"/>
    <x v="3"/>
    <m/>
    <m/>
  </r>
  <r>
    <n v="11133180"/>
    <s v="PL_Tools Request - Integrated AIOps (AIOPS)"/>
    <s v="EMEA &gt; PROD &gt; KDL &gt; PL_TOOLS"/>
    <x v="0"/>
    <x v="2"/>
    <s v="Praveen Dudam"/>
    <x v="36"/>
    <s v="Medium"/>
    <m/>
    <s v="PLATFORM TOOLS - CUSTOMER DETAILS 1) CAPABILITY/TOOL: Integrated AIOps (AIOPS) 2) ACCOUNT LOOKUP (IF KNOWN): Mi Banco - mib (BAC000377F-PE) es.was1 3) AIOPS LOCATION: Integrated AIOPs - NA PLATFORM TOOLS - AIOPS REQUEST DETAILS 1) AIOPS DATA PLANE: 2) IMPACTED COUNTRY: Strategic Markets 3) ACCOUNT DPE NAME: Julio Cesar Leon Guerrero 4) ACCOUNT DPE EMAIL: julioleon@kyndryl.com 5) DPE EMAIL APPROVAL ATTACHMENT: Bandeja de entrada_ Michael Huamancaja - Outlook.pdf 6) DESCRIPTION: terminated contract 7) ATTACHED OFFBOARDING FORM: offboarding_decomm_form 4.pdf PLATFORM TOOLS - ADDITIONAL INFORMATION 1) NOTIFY: Cajahuaman Maldonado Solange"/>
    <x v="0"/>
    <s v="Medium"/>
    <s v="Medium"/>
    <d v="2026-06-16T21:59:00"/>
    <s v="PL_TOOLS &gt; AIOPS"/>
    <x v="1"/>
    <d v="2026-07-02T20:39:00"/>
    <x v="3"/>
    <m/>
    <m/>
  </r>
  <r>
    <n v="10940504"/>
    <s v="PL_Tools Request - Integrated AIOps (AIOPS)"/>
    <s v="EMEA &gt; PROD &gt; KDL &gt; PL_TOOLS"/>
    <x v="2"/>
    <x v="1"/>
    <s v="GÃ¡bor Szabolcs NÃ©meth"/>
    <x v="44"/>
    <s v="Medium"/>
    <m/>
    <s v="FORM DATA PLATFORM TOOLS - CUSTOMER DETAILS 1) CAPABILITY/TOOL : Integrated AIOps (AIOPS) 2) ACCOUNT LOOKUP (IF KNOWN) : *Multiple Customers 3) LIST OF CUSTOMER : *Multiple Customers 4) CUSTOMERS LIST : 5) AIOPS LOCATION : Integrated AIOPs - EU PLATFORM TOOLS - AIOPS REQUEST DETAILS 6) AIOPS DATA PLANE : 7) IMPACTED COUNTRY : Italy 8) ACCOUNT DPE NAME : cliff.lin@kyndryl.com, renzo.colombo@kyndryl.com, zeki.ozen@kyndryl.com 9) ACCOUNT DPE EMAIL : zeki.ozen@kyndryl.com 10) DPE EMAIL APPROVAL ATTACHMENT : Attached document 11) DESCRIPTION : Hi Team, Could you please help in offboarding the below inactive BAC's and its respective OU's. The mentioned DPE's are not active. Hence the approvals couldnt be taken for these. Checked in ARMS as well, there are no approvers there for these 2 accounts. BAC ID ou_id Account Name BAC00010EB f92e47fa5858.1 ALFA GOMMA SPA - IT BAC0002965 e90bd25e5425.1 UNO Unable to access the offboarding form as well. 12) ATTACHED OFFBOARDING FORM : Attached document PLATFORM TOOLS - ADDITIONAL INFORMATION 13) NOTIFY : 14) ATTACHMENTS (EVIDENCE, SCREENSHOTS, LOGS,ETC) : No attached document"/>
    <x v="0"/>
    <s v="Medium"/>
    <s v="Medium"/>
    <d v="2026-04-29T13:03:00"/>
    <s v="PL_TOOLS &gt; AIOPS"/>
    <x v="1"/>
    <d v="2026-07-02T19:15:00"/>
    <x v="7"/>
    <m/>
    <m/>
  </r>
  <r>
    <n v="11179339"/>
    <s v="Vaasan - offboarding request"/>
    <s v="EMEA &gt; PROD &gt; KDL &gt; PL_TOOLS"/>
    <x v="0"/>
    <x v="1"/>
    <s v="GÃ¡bor Szabolcs NÃ©meth"/>
    <x v="118"/>
    <s v="Medium"/>
    <m/>
    <s v="PLATFORM TOOLS - BASIC DETAILS 1) SHORT DESCRIPTION: Vaasan - offboarding request 2) DESCRIPTION OF REQUEST: Contract terminated. Requested by DPE 3) CAPABILITY/TOOL: Integrated AIOps (AIOPS) 4) KYNDRYL BRIDGE CUSTOMER FOR AIOPS LOOKUP (IF KNOWN): Vaasan &amp; Vaasan - vnv (BAC0000DA8-FI) es.ams1 5) ORG MARKET: Strategic Markets 6) ADDITIONAL DETAILS: 7) NOTIFY: PLATFORM TOOLS - INTEGRATED AIOPS (AIOPS) DETAILS 1) AIOPS LOCATION: Integrated AIOPs - EU 2) AIOPS INSTANCE: Europe 3) TYPE OF REQUEST: AIOPS - General Request"/>
    <x v="0"/>
    <s v="Medium"/>
    <s v="Medium"/>
    <d v="2026-06-29T18:37:00"/>
    <s v="PL_TOOLS &gt; AIOPS"/>
    <x v="1"/>
    <d v="2026-06-29T19:00:00"/>
    <x v="3"/>
    <m/>
    <m/>
  </r>
  <r>
    <n v="11144982"/>
    <s v="PL_Tools Request - Integrated AIOps (AIOPS)"/>
    <s v="EMEA &gt; PROD &gt; KDL &gt; PL_TOOLS"/>
    <x v="2"/>
    <x v="2"/>
    <s v="Vivien Lee"/>
    <x v="119"/>
    <s v="Medium"/>
    <m/>
    <s v="PLATFORM TOOLS - BASIC DETAILS 1) SHORT DESCRIPTION: Need Assistance to update AIOPs Extension &quot;extensions-leg-inc-netcool-snow&quot;- Please assign to Vivien.Lee@kyndryl.com 2) DESCRIPTION OF REQUEST: Need assistance to update extension extensions-leg-inc-netcool-snow to latest chainguard v12 image and get extension EA certified. assignment queue: K-PLTools-AIOPs-Americas-Delivery-Support Please assign this request to Vivien Lee - Vivien.Lee@kyndryl.com as she is aware about this. 3) CAPABILITY/TOOL: Integrated AIOps (AIOPS) 4) KYNDRYL BRIDGE CUSTOMER FOR AIOPS LOOKUP (IF KNOWN): Legal &amp; General - leg (BAC0000CBB-GB) es.ams1 5) ORG MARKET: UKI 6) ADDITIONAL DETAILS: 7) NOTIFY: PLATFORM TOOLS - INTEGRATED AIOPS (AIOPS) DETAILS 1) AIOPS LOCATION: Integrated AIOPs - EU 2) AIOPS INSTANCE: Europe 3) TYPE OF REQUEST: AIOPS - Extensions Deployment"/>
    <x v="0"/>
    <s v="Medium"/>
    <s v="Medium"/>
    <d v="2026-06-19T18:49:00"/>
    <s v="PL_TOOLS &gt; AIOPS"/>
    <x v="1"/>
    <d v="2026-06-25T15:03:00"/>
    <x v="3"/>
    <m/>
    <m/>
  </r>
  <r>
    <n v="10989750"/>
    <s v="PL_Tools Request - Kyndryl Bridge"/>
    <s v="EMEA &gt; PROD &gt; KDL &gt; PL_TOOLS"/>
    <x v="0"/>
    <x v="1"/>
    <s v="GÃ¡bor Szabolcs NÃ©meth"/>
    <x v="118"/>
    <s v="Medium"/>
    <m/>
    <s v="FORM DATA PLATFORM TOOLS - BASIC DETAILS 1) SHORT DESCRIPTION : SSAB - offboarding request 2) DESCRIPTION OF REQUEST : Contract ended in April 2025. 3) CAPABILITY/TOOL : Kyndryl Bridge 4) ACCOUNT LOOKUP (IF KNOWN) : sb1 - SSAB AB - Sweden - BAC000023E - Mkt: Strategic Market 5) ORG MARKET : Strategic Markets 6) ADDITIONAL DETAILS : Requested by DP. 7) NOTIFY : 8) ATTACHMENTS (EVIDENCE, SCREENSHOTS, LOGS,ETC) : No attached document PLATFORM TOOLS - KYNDRYL BRIDGE DETAILS 9) LOCATION OF CAPABILITY/TOOL INSTANCE : Kyndryl Bridge - Global 10) TYPE OF REQUEST : General Request"/>
    <x v="0"/>
    <s v="Medium"/>
    <s v="Medium"/>
    <d v="2026-05-15T13:19:00"/>
    <s v="PL_TOOLS"/>
    <x v="1"/>
    <d v="2026-06-25T14:44:00"/>
    <x v="7"/>
    <m/>
    <m/>
  </r>
  <r>
    <m/>
    <m/>
    <m/>
    <x v="3"/>
    <x v="8"/>
    <m/>
    <x v="120"/>
    <m/>
    <m/>
    <m/>
    <x v="3"/>
    <m/>
    <m/>
    <m/>
    <m/>
    <x v="2"/>
    <m/>
    <x v="8"/>
    <m/>
    <m/>
  </r>
  <r>
    <m/>
    <m/>
    <m/>
    <x v="3"/>
    <x v="8"/>
    <m/>
    <x v="120"/>
    <m/>
    <m/>
    <m/>
    <x v="3"/>
    <m/>
    <m/>
    <m/>
    <m/>
    <x v="2"/>
    <m/>
    <x v="8"/>
    <m/>
    <m/>
  </r>
  <r>
    <m/>
    <m/>
    <m/>
    <x v="3"/>
    <x v="8"/>
    <m/>
    <x v="120"/>
    <m/>
    <m/>
    <m/>
    <x v="3"/>
    <m/>
    <m/>
    <m/>
    <m/>
    <x v="2"/>
    <m/>
    <x v="8"/>
    <m/>
    <m/>
  </r>
  <r>
    <m/>
    <m/>
    <m/>
    <x v="3"/>
    <x v="8"/>
    <m/>
    <x v="120"/>
    <m/>
    <m/>
    <m/>
    <x v="3"/>
    <m/>
    <m/>
    <m/>
    <m/>
    <x v="2"/>
    <m/>
    <x v="8"/>
    <m/>
    <m/>
  </r>
  <r>
    <m/>
    <m/>
    <m/>
    <x v="3"/>
    <x v="8"/>
    <m/>
    <x v="120"/>
    <m/>
    <m/>
    <m/>
    <x v="3"/>
    <m/>
    <m/>
    <m/>
    <m/>
    <x v="2"/>
    <m/>
    <x v="8"/>
    <m/>
    <m/>
  </r>
  <r>
    <m/>
    <m/>
    <m/>
    <x v="3"/>
    <x v="8"/>
    <m/>
    <x v="120"/>
    <m/>
    <m/>
    <m/>
    <x v="3"/>
    <m/>
    <m/>
    <m/>
    <m/>
    <x v="2"/>
    <m/>
    <x v="8"/>
    <m/>
    <m/>
  </r>
  <r>
    <m/>
    <m/>
    <m/>
    <x v="3"/>
    <x v="8"/>
    <m/>
    <x v="120"/>
    <m/>
    <m/>
    <m/>
    <x v="3"/>
    <m/>
    <m/>
    <m/>
    <m/>
    <x v="2"/>
    <m/>
    <x v="8"/>
    <m/>
    <m/>
  </r>
  <r>
    <m/>
    <m/>
    <m/>
    <x v="3"/>
    <x v="8"/>
    <m/>
    <x v="120"/>
    <m/>
    <m/>
    <m/>
    <x v="3"/>
    <m/>
    <m/>
    <m/>
    <m/>
    <x v="2"/>
    <m/>
    <x v="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79710-64BD-4BE0-8AE7-42905C3D3392}" name="PivotTable6"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3:P25" firstHeaderRow="1" firstDataRow="2" firstDataCol="1"/>
  <pivotFields count="20">
    <pivotField showAll="0"/>
    <pivotField dataField="1" showAll="0"/>
    <pivotField showAll="0"/>
    <pivotField axis="axisCol" showAll="0">
      <items count="5">
        <item x="1"/>
        <item x="2"/>
        <item x="0"/>
        <item x="3"/>
        <item t="default"/>
      </items>
    </pivotField>
    <pivotField showAll="0"/>
    <pivotField showAll="0"/>
    <pivotField showAll="0"/>
    <pivotField showAll="0"/>
    <pivotField showAll="0"/>
    <pivotField showAll="0"/>
    <pivotField showAll="0"/>
    <pivotField showAll="0"/>
    <pivotField showAll="0"/>
    <pivotField numFmtId="22" showAll="0"/>
    <pivotField showAll="0"/>
    <pivotField showAll="0"/>
    <pivotField numFmtId="22" showAll="0"/>
    <pivotField showAll="0"/>
    <pivotField showAll="0"/>
    <pivotField showAll="0"/>
  </pivotFields>
  <rowItems count="1">
    <i/>
  </rowItems>
  <colFields count="1">
    <field x="3"/>
  </colFields>
  <colItems count="5">
    <i>
      <x/>
    </i>
    <i>
      <x v="1"/>
    </i>
    <i>
      <x v="2"/>
    </i>
    <i>
      <x v="3"/>
    </i>
    <i t="grand">
      <x/>
    </i>
  </colItem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103253-A881-4534-B042-834637D1911E}" name="PivotTable3" cacheId="1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5:P15" firstHeaderRow="1" firstDataRow="2" firstDataCol="1" rowPageCount="2" colPageCount="1"/>
  <pivotFields count="20">
    <pivotField showAll="0"/>
    <pivotField dataField="1" showAll="0"/>
    <pivotField showAll="0"/>
    <pivotField showAll="0"/>
    <pivotField axis="axisRow" showAll="0">
      <items count="10">
        <item x="2"/>
        <item x="6"/>
        <item x="7"/>
        <item x="1"/>
        <item x="0"/>
        <item x="4"/>
        <item x="3"/>
        <item x="5"/>
        <item x="8"/>
        <item t="default"/>
      </items>
    </pivotField>
    <pivotField showAll="0"/>
    <pivotField axis="axisPage" showAll="0">
      <items count="139">
        <item x="42"/>
        <item x="100"/>
        <item m="1" x="134"/>
        <item x="8"/>
        <item x="62"/>
        <item x="32"/>
        <item x="95"/>
        <item m="1" x="128"/>
        <item x="83"/>
        <item x="93"/>
        <item x="50"/>
        <item x="0"/>
        <item x="98"/>
        <item x="55"/>
        <item x="35"/>
        <item x="68"/>
        <item m="1" x="130"/>
        <item x="61"/>
        <item m="1" x="132"/>
        <item x="20"/>
        <item x="107"/>
        <item x="33"/>
        <item x="48"/>
        <item x="90"/>
        <item m="1" x="133"/>
        <item x="51"/>
        <item x="91"/>
        <item x="79"/>
        <item x="45"/>
        <item x="34"/>
        <item x="39"/>
        <item x="59"/>
        <item x="108"/>
        <item x="112"/>
        <item x="114"/>
        <item m="1" x="124"/>
        <item x="52"/>
        <item x="103"/>
        <item x="17"/>
        <item x="41"/>
        <item x="110"/>
        <item x="67"/>
        <item x="70"/>
        <item x="94"/>
        <item x="85"/>
        <item x="75"/>
        <item x="6"/>
        <item x="15"/>
        <item x="64"/>
        <item x="99"/>
        <item x="28"/>
        <item x="7"/>
        <item x="30"/>
        <item x="118"/>
        <item x="53"/>
        <item x="44"/>
        <item x="25"/>
        <item m="1" x="137"/>
        <item x="96"/>
        <item x="37"/>
        <item x="106"/>
        <item x="81"/>
        <item x="2"/>
        <item x="74"/>
        <item x="47"/>
        <item x="111"/>
        <item m="1" x="123"/>
        <item x="27"/>
        <item x="21"/>
        <item x="63"/>
        <item x="26"/>
        <item x="4"/>
        <item x="78"/>
        <item x="18"/>
        <item x="72"/>
        <item x="105"/>
        <item m="1" x="131"/>
        <item x="49"/>
        <item x="9"/>
        <item x="36"/>
        <item x="12"/>
        <item x="86"/>
        <item m="1" x="129"/>
        <item x="56"/>
        <item x="76"/>
        <item x="73"/>
        <item x="113"/>
        <item x="57"/>
        <item x="54"/>
        <item x="89"/>
        <item x="69"/>
        <item m="1" x="136"/>
        <item x="16"/>
        <item x="104"/>
        <item x="1"/>
        <item x="5"/>
        <item x="46"/>
        <item m="1" x="127"/>
        <item x="119"/>
        <item x="38"/>
        <item x="19"/>
        <item m="1" x="125"/>
        <item x="10"/>
        <item x="97"/>
        <item x="23"/>
        <item x="84"/>
        <item x="80"/>
        <item x="66"/>
        <item x="87"/>
        <item x="115"/>
        <item x="29"/>
        <item x="102"/>
        <item x="14"/>
        <item m="1" x="135"/>
        <item x="92"/>
        <item x="116"/>
        <item x="13"/>
        <item m="1" x="121"/>
        <item x="43"/>
        <item x="24"/>
        <item x="117"/>
        <item x="71"/>
        <item x="109"/>
        <item x="101"/>
        <item x="22"/>
        <item x="77"/>
        <item x="88"/>
        <item x="3"/>
        <item m="1" x="126"/>
        <item x="58"/>
        <item x="40"/>
        <item m="1" x="122"/>
        <item x="11"/>
        <item x="65"/>
        <item x="82"/>
        <item x="31"/>
        <item x="60"/>
        <item x="120"/>
        <item t="default"/>
      </items>
    </pivotField>
    <pivotField showAll="0"/>
    <pivotField showAll="0"/>
    <pivotField showAll="0"/>
    <pivotField showAll="0"/>
    <pivotField showAll="0"/>
    <pivotField showAll="0"/>
    <pivotField numFmtId="22" showAll="0"/>
    <pivotField showAll="0"/>
    <pivotField axis="axisPage" multipleItemSelectionAllowed="1" showAll="0">
      <items count="4">
        <item x="0"/>
        <item h="1" x="1"/>
        <item h="1" x="2"/>
        <item t="default"/>
      </items>
    </pivotField>
    <pivotField numFmtId="22" showAll="0"/>
    <pivotField axis="axisCol" showAll="0">
      <items count="10">
        <item x="7"/>
        <item x="4"/>
        <item x="0"/>
        <item x="5"/>
        <item x="2"/>
        <item x="1"/>
        <item x="3"/>
        <item x="6"/>
        <item x="8"/>
        <item t="default"/>
      </items>
    </pivotField>
    <pivotField showAll="0"/>
    <pivotField showAll="0"/>
  </pivotFields>
  <rowFields count="1">
    <field x="4"/>
  </rowFields>
  <rowItems count="9">
    <i>
      <x/>
    </i>
    <i>
      <x v="1"/>
    </i>
    <i>
      <x v="2"/>
    </i>
    <i>
      <x v="3"/>
    </i>
    <i>
      <x v="4"/>
    </i>
    <i>
      <x v="5"/>
    </i>
    <i>
      <x v="6"/>
    </i>
    <i>
      <x v="7"/>
    </i>
    <i t="grand">
      <x/>
    </i>
  </rowItems>
  <colFields count="1">
    <field x="17"/>
  </colFields>
  <colItems count="8">
    <i>
      <x v="1"/>
    </i>
    <i>
      <x v="2"/>
    </i>
    <i>
      <x v="3"/>
    </i>
    <i>
      <x v="4"/>
    </i>
    <i>
      <x v="5"/>
    </i>
    <i>
      <x v="6"/>
    </i>
    <i>
      <x v="7"/>
    </i>
    <i t="grand">
      <x/>
    </i>
  </colItems>
  <pageFields count="2">
    <pageField fld="15" hier="-1"/>
    <pageField fld="6" hier="-1"/>
  </pageField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803B3-5510-4EB7-8F91-A6C56496E35C}" name="PivotTable4"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F31" firstHeaderRow="1" firstDataRow="2" firstDataCol="1" rowPageCount="1" colPageCount="1"/>
  <pivotFields count="20">
    <pivotField showAll="0"/>
    <pivotField dataField="1" showAll="0"/>
    <pivotField showAll="0"/>
    <pivotField showAll="0"/>
    <pivotField axis="axisRow" showAll="0">
      <items count="10">
        <item x="2"/>
        <item x="6"/>
        <item x="7"/>
        <item x="1"/>
        <item x="0"/>
        <item x="4"/>
        <item x="3"/>
        <item x="5"/>
        <item x="8"/>
        <item t="default"/>
      </items>
    </pivotField>
    <pivotField showAll="0"/>
    <pivotField showAll="0"/>
    <pivotField showAll="0"/>
    <pivotField showAll="0"/>
    <pivotField showAll="0"/>
    <pivotField axis="axisCol" showAll="0">
      <items count="5">
        <item x="1"/>
        <item x="2"/>
        <item x="0"/>
        <item x="3"/>
        <item t="default"/>
      </items>
    </pivotField>
    <pivotField showAll="0"/>
    <pivotField showAll="0"/>
    <pivotField numFmtId="22" showAll="0"/>
    <pivotField showAll="0"/>
    <pivotField axis="axisPage" multipleItemSelectionAllowed="1" showAll="0">
      <items count="4">
        <item x="0"/>
        <item h="1" x="1"/>
        <item h="1" x="2"/>
        <item t="default"/>
      </items>
    </pivotField>
    <pivotField numFmtId="22" showAll="0"/>
    <pivotField showAll="0"/>
    <pivotField showAll="0"/>
    <pivotField showAll="0"/>
  </pivotFields>
  <rowFields count="1">
    <field x="4"/>
  </rowFields>
  <rowItems count="9">
    <i>
      <x/>
    </i>
    <i>
      <x v="1"/>
    </i>
    <i>
      <x v="2"/>
    </i>
    <i>
      <x v="3"/>
    </i>
    <i>
      <x v="4"/>
    </i>
    <i>
      <x v="5"/>
    </i>
    <i>
      <x v="6"/>
    </i>
    <i>
      <x v="7"/>
    </i>
    <i t="grand">
      <x/>
    </i>
  </rowItems>
  <colFields count="1">
    <field x="10"/>
  </colFields>
  <colItems count="4">
    <i>
      <x/>
    </i>
    <i>
      <x v="1"/>
    </i>
    <i>
      <x v="2"/>
    </i>
    <i t="grand">
      <x/>
    </i>
  </colItems>
  <pageFields count="1">
    <pageField fld="15" hier="-1"/>
  </pageField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C914E7-F28D-48ED-845C-0FA0338E7CAA}" name="PivotTable5"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5:I29" firstHeaderRow="1" firstDataRow="1" firstDataCol="1" rowPageCount="1" colPageCount="1"/>
  <pivotFields count="20">
    <pivotField showAll="0"/>
    <pivotField dataField="1" showAll="0"/>
    <pivotField showAll="0"/>
    <pivotField showAll="0"/>
    <pivotField axis="axisRow" showAll="0">
      <items count="10">
        <item x="2"/>
        <item x="6"/>
        <item x="7"/>
        <item x="1"/>
        <item x="0"/>
        <item x="4"/>
        <item x="3"/>
        <item x="5"/>
        <item x="8"/>
        <item t="default"/>
      </items>
    </pivotField>
    <pivotField showAll="0"/>
    <pivotField axis="axisPage" multipleItemSelectionAllowed="1" showAll="0">
      <items count="139">
        <item h="1" x="42"/>
        <item h="1" x="100"/>
        <item h="1" m="1" x="134"/>
        <item h="1" x="8"/>
        <item h="1" x="62"/>
        <item h="1" x="32"/>
        <item h="1" x="95"/>
        <item h="1" m="1" x="128"/>
        <item h="1" x="83"/>
        <item h="1" x="93"/>
        <item h="1" x="50"/>
        <item h="1" x="0"/>
        <item h="1" x="98"/>
        <item h="1" x="55"/>
        <item h="1" x="35"/>
        <item h="1" x="68"/>
        <item h="1" m="1" x="130"/>
        <item h="1" x="61"/>
        <item h="1" m="1" x="132"/>
        <item h="1" x="107"/>
        <item h="1" x="33"/>
        <item h="1" x="48"/>
        <item h="1" x="90"/>
        <item h="1" m="1" x="133"/>
        <item h="1" x="51"/>
        <item h="1" x="91"/>
        <item h="1" x="79"/>
        <item h="1" x="45"/>
        <item h="1" x="39"/>
        <item h="1" x="59"/>
        <item h="1" x="108"/>
        <item h="1" x="112"/>
        <item h="1" x="114"/>
        <item h="1" m="1" x="124"/>
        <item h="1" x="52"/>
        <item h="1" x="103"/>
        <item h="1" x="17"/>
        <item h="1" x="41"/>
        <item h="1" x="110"/>
        <item h="1" x="67"/>
        <item h="1" x="70"/>
        <item h="1" x="94"/>
        <item h="1" x="85"/>
        <item h="1" x="75"/>
        <item h="1" x="6"/>
        <item h="1" x="64"/>
        <item h="1" x="99"/>
        <item h="1" x="28"/>
        <item h="1" x="118"/>
        <item h="1" x="53"/>
        <item h="1" x="44"/>
        <item h="1" x="25"/>
        <item h="1" m="1" x="137"/>
        <item h="1" x="96"/>
        <item h="1" x="37"/>
        <item h="1" x="106"/>
        <item h="1" x="81"/>
        <item h="1" x="2"/>
        <item h="1" x="74"/>
        <item h="1" x="47"/>
        <item h="1" x="111"/>
        <item h="1" m="1" x="123"/>
        <item h="1" x="21"/>
        <item h="1" x="63"/>
        <item h="1" x="26"/>
        <item h="1" x="4"/>
        <item h="1" x="78"/>
        <item h="1" x="18"/>
        <item h="1" x="72"/>
        <item h="1" x="105"/>
        <item h="1" m="1" x="131"/>
        <item h="1" x="49"/>
        <item h="1" x="9"/>
        <item h="1" x="36"/>
        <item h="1" x="86"/>
        <item h="1" m="1" x="129"/>
        <item h="1" x="76"/>
        <item h="1" x="73"/>
        <item h="1" x="113"/>
        <item h="1" x="57"/>
        <item h="1" x="54"/>
        <item h="1" x="89"/>
        <item h="1" x="69"/>
        <item h="1" m="1" x="136"/>
        <item x="16"/>
        <item h="1" x="104"/>
        <item h="1" x="46"/>
        <item h="1" m="1" x="127"/>
        <item h="1" x="119"/>
        <item h="1" x="38"/>
        <item h="1" m="1" x="125"/>
        <item h="1" x="10"/>
        <item h="1" x="97"/>
        <item h="1" x="84"/>
        <item h="1" x="80"/>
        <item h="1" x="66"/>
        <item h="1" x="87"/>
        <item h="1" x="115"/>
        <item h="1" x="29"/>
        <item h="1" x="102"/>
        <item h="1" x="14"/>
        <item h="1" m="1" x="135"/>
        <item h="1" x="92"/>
        <item h="1" x="116"/>
        <item h="1" x="13"/>
        <item h="1" m="1" x="121"/>
        <item h="1" x="43"/>
        <item h="1" x="24"/>
        <item h="1" x="117"/>
        <item h="1" x="71"/>
        <item h="1" x="109"/>
        <item h="1" x="101"/>
        <item h="1" x="22"/>
        <item h="1" x="77"/>
        <item h="1" x="88"/>
        <item h="1" m="1" x="126"/>
        <item h="1" x="58"/>
        <item h="1" x="40"/>
        <item h="1" m="1" x="122"/>
        <item h="1" x="65"/>
        <item h="1" x="82"/>
        <item h="1" x="31"/>
        <item h="1" x="60"/>
        <item h="1" x="27"/>
        <item h="1" x="30"/>
        <item h="1" x="11"/>
        <item h="1" x="34"/>
        <item h="1" x="56"/>
        <item h="1" x="15"/>
        <item h="1" x="120"/>
        <item h="1" x="1"/>
        <item h="1" x="3"/>
        <item h="1" x="5"/>
        <item h="1" x="7"/>
        <item h="1" x="12"/>
        <item h="1" x="19"/>
        <item h="1" x="20"/>
        <item h="1" x="23"/>
        <item t="default"/>
      </items>
    </pivotField>
    <pivotField showAll="0"/>
    <pivotField showAll="0"/>
    <pivotField showAll="0"/>
    <pivotField showAll="0"/>
    <pivotField showAll="0"/>
    <pivotField showAll="0"/>
    <pivotField numFmtId="22" showAll="0"/>
    <pivotField showAll="0"/>
    <pivotField showAll="0"/>
    <pivotField numFmtId="22" showAll="0"/>
    <pivotField showAll="0"/>
    <pivotField showAll="0"/>
    <pivotField showAll="0"/>
  </pivotFields>
  <rowFields count="1">
    <field x="4"/>
  </rowFields>
  <rowItems count="4">
    <i>
      <x/>
    </i>
    <i>
      <x v="1"/>
    </i>
    <i>
      <x v="3"/>
    </i>
    <i t="grand">
      <x/>
    </i>
  </rowItems>
  <colItems count="1">
    <i/>
  </colItems>
  <pageFields count="1">
    <pageField fld="6" hier="-1"/>
  </pageField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2A79E-117A-49E3-ACC1-EEF0E3DF58F7}" name="PivotTable2"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14" firstHeaderRow="1" firstDataRow="2" firstDataCol="1"/>
  <pivotFields count="20">
    <pivotField showAll="0"/>
    <pivotField dataField="1" showAll="0"/>
    <pivotField showAll="0"/>
    <pivotField showAll="0"/>
    <pivotField axis="axisRow" showAll="0">
      <items count="10">
        <item x="2"/>
        <item x="6"/>
        <item x="7"/>
        <item x="1"/>
        <item x="0"/>
        <item x="4"/>
        <item x="3"/>
        <item x="5"/>
        <item x="8"/>
        <item t="default"/>
      </items>
    </pivotField>
    <pivotField showAll="0"/>
    <pivotField showAll="0"/>
    <pivotField showAll="0"/>
    <pivotField showAll="0"/>
    <pivotField showAll="0"/>
    <pivotField showAll="0"/>
    <pivotField showAll="0"/>
    <pivotField showAll="0"/>
    <pivotField numFmtId="22" showAll="0"/>
    <pivotField showAll="0"/>
    <pivotField axis="axisCol" showAll="0">
      <items count="4">
        <item x="0"/>
        <item x="1"/>
        <item x="2"/>
        <item t="default"/>
      </items>
    </pivotField>
    <pivotField numFmtId="22" showAll="0"/>
    <pivotField showAll="0"/>
    <pivotField showAll="0"/>
    <pivotField showAll="0"/>
  </pivotFields>
  <rowFields count="1">
    <field x="4"/>
  </rowFields>
  <rowItems count="10">
    <i>
      <x/>
    </i>
    <i>
      <x v="1"/>
    </i>
    <i>
      <x v="2"/>
    </i>
    <i>
      <x v="3"/>
    </i>
    <i>
      <x v="4"/>
    </i>
    <i>
      <x v="5"/>
    </i>
    <i>
      <x v="6"/>
    </i>
    <i>
      <x v="7"/>
    </i>
    <i>
      <x v="8"/>
    </i>
    <i t="grand">
      <x/>
    </i>
  </rowItems>
  <colFields count="1">
    <field x="15"/>
  </colFields>
  <colItems count="4">
    <i>
      <x/>
    </i>
    <i>
      <x v="1"/>
    </i>
    <i>
      <x v="2"/>
    </i>
    <i t="grand">
      <x/>
    </i>
  </colItems>
  <dataFields count="1">
    <dataField name="Count of 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9E7D2-DF6B-4835-8D8D-8273864C7726}">
  <dimension ref="A1:BY191"/>
  <sheetViews>
    <sheetView tabSelected="1" topLeftCell="N1" zoomScaleNormal="100" workbookViewId="0">
      <selection activeCell="R9" sqref="R9"/>
    </sheetView>
  </sheetViews>
  <sheetFormatPr defaultColWidth="20.83203125" defaultRowHeight="16" x14ac:dyDescent="0.4"/>
  <cols>
    <col min="6" max="6" width="36.58203125" bestFit="1" customWidth="1"/>
  </cols>
  <sheetData>
    <row r="1" spans="1:51" x14ac:dyDescent="0.4">
      <c r="A1" t="s">
        <v>0</v>
      </c>
      <c r="B1" t="s">
        <v>1</v>
      </c>
      <c r="C1" t="s">
        <v>2</v>
      </c>
      <c r="D1" t="s">
        <v>4</v>
      </c>
      <c r="E1" t="s">
        <v>219</v>
      </c>
      <c r="F1" t="s">
        <v>220</v>
      </c>
      <c r="G1" t="s">
        <v>7</v>
      </c>
      <c r="H1" t="s">
        <v>10</v>
      </c>
      <c r="I1" t="s">
        <v>221</v>
      </c>
      <c r="J1" t="s">
        <v>32</v>
      </c>
      <c r="K1" t="s">
        <v>11</v>
      </c>
      <c r="L1" t="s">
        <v>9</v>
      </c>
      <c r="M1" t="s">
        <v>8</v>
      </c>
      <c r="N1" t="s">
        <v>6</v>
      </c>
      <c r="O1" t="s">
        <v>5</v>
      </c>
      <c r="P1" t="s">
        <v>3</v>
      </c>
      <c r="Q1" t="s">
        <v>31</v>
      </c>
      <c r="R1" s="1" t="s">
        <v>34</v>
      </c>
      <c r="S1" s="1"/>
      <c r="T1" s="1"/>
      <c r="U1" s="1"/>
      <c r="V1" s="1"/>
      <c r="AJ1" s="1"/>
      <c r="AL1" s="1"/>
      <c r="AP1" s="8"/>
      <c r="AQ1" s="8"/>
      <c r="AX1" s="7"/>
      <c r="AY1" s="7"/>
    </row>
    <row r="2" spans="1:51" x14ac:dyDescent="0.4">
      <c r="A2">
        <v>11257944</v>
      </c>
      <c r="B2" t="s">
        <v>465</v>
      </c>
      <c r="C2" t="s">
        <v>13</v>
      </c>
      <c r="D2" t="s">
        <v>169</v>
      </c>
      <c r="E2" t="s">
        <v>16</v>
      </c>
      <c r="G2" t="s">
        <v>239</v>
      </c>
      <c r="H2" t="s">
        <v>18</v>
      </c>
      <c r="J2" t="s">
        <v>466</v>
      </c>
      <c r="K2" t="s">
        <v>18</v>
      </c>
      <c r="L2" t="s">
        <v>18</v>
      </c>
      <c r="M2" t="s">
        <v>18</v>
      </c>
      <c r="N2" s="2">
        <v>46223.688194444447</v>
      </c>
      <c r="O2" t="s">
        <v>22</v>
      </c>
      <c r="P2" t="s">
        <v>14</v>
      </c>
      <c r="Q2" s="2">
        <v>46223.688194444447</v>
      </c>
      <c r="R2" t="s">
        <v>81</v>
      </c>
      <c r="AM2" s="2"/>
      <c r="AP2" s="8"/>
      <c r="AQ2" s="8"/>
      <c r="AX2" s="7"/>
      <c r="AY2" s="7"/>
    </row>
    <row r="3" spans="1:51" x14ac:dyDescent="0.4">
      <c r="A3">
        <v>11257940</v>
      </c>
      <c r="B3" t="s">
        <v>467</v>
      </c>
      <c r="C3" t="s">
        <v>13</v>
      </c>
      <c r="D3" t="s">
        <v>169</v>
      </c>
      <c r="E3" t="s">
        <v>21</v>
      </c>
      <c r="G3" t="s">
        <v>239</v>
      </c>
      <c r="H3" t="s">
        <v>18</v>
      </c>
      <c r="J3" t="s">
        <v>468</v>
      </c>
      <c r="K3" t="s">
        <v>18</v>
      </c>
      <c r="L3" t="s">
        <v>18</v>
      </c>
      <c r="M3" t="s">
        <v>18</v>
      </c>
      <c r="N3" s="2">
        <v>46223.688194444447</v>
      </c>
      <c r="O3" t="s">
        <v>22</v>
      </c>
      <c r="P3" t="s">
        <v>14</v>
      </c>
      <c r="Q3" s="2">
        <v>46223.688194444447</v>
      </c>
      <c r="R3" t="s">
        <v>81</v>
      </c>
      <c r="AM3" s="2"/>
      <c r="AP3" s="8"/>
      <c r="AQ3" s="8"/>
      <c r="AX3" s="7"/>
      <c r="AY3" s="7"/>
    </row>
    <row r="4" spans="1:51" x14ac:dyDescent="0.4">
      <c r="A4">
        <v>11257935</v>
      </c>
      <c r="B4" t="s">
        <v>469</v>
      </c>
      <c r="C4" t="s">
        <v>13</v>
      </c>
      <c r="D4" t="s">
        <v>169</v>
      </c>
      <c r="E4" t="s">
        <v>21</v>
      </c>
      <c r="G4" t="s">
        <v>239</v>
      </c>
      <c r="H4" t="s">
        <v>18</v>
      </c>
      <c r="J4" t="s">
        <v>470</v>
      </c>
      <c r="K4" t="s">
        <v>18</v>
      </c>
      <c r="L4" t="s">
        <v>18</v>
      </c>
      <c r="M4" t="s">
        <v>18</v>
      </c>
      <c r="N4" s="2">
        <v>46223.686805555553</v>
      </c>
      <c r="O4" t="s">
        <v>22</v>
      </c>
      <c r="P4" t="s">
        <v>14</v>
      </c>
      <c r="Q4" s="2">
        <v>46223.686805555553</v>
      </c>
      <c r="R4" t="s">
        <v>81</v>
      </c>
      <c r="AM4" s="2"/>
      <c r="AP4" s="8"/>
      <c r="AQ4" s="8"/>
      <c r="AX4" s="7"/>
      <c r="AY4" s="7"/>
    </row>
    <row r="5" spans="1:51" x14ac:dyDescent="0.4">
      <c r="A5">
        <v>11257806</v>
      </c>
      <c r="B5" t="s">
        <v>471</v>
      </c>
      <c r="C5" t="s">
        <v>13</v>
      </c>
      <c r="D5" t="s">
        <v>15</v>
      </c>
      <c r="E5" t="s">
        <v>21</v>
      </c>
      <c r="F5" t="s">
        <v>246</v>
      </c>
      <c r="G5" t="s">
        <v>472</v>
      </c>
      <c r="H5" t="s">
        <v>18</v>
      </c>
      <c r="J5" t="s">
        <v>473</v>
      </c>
      <c r="K5" t="s">
        <v>18</v>
      </c>
      <c r="L5" t="s">
        <v>18</v>
      </c>
      <c r="M5" t="s">
        <v>18</v>
      </c>
      <c r="N5" s="2">
        <v>46223.668749999997</v>
      </c>
      <c r="O5" t="s">
        <v>27</v>
      </c>
      <c r="P5" t="s">
        <v>14</v>
      </c>
      <c r="Q5" s="2">
        <v>46223.683333333334</v>
      </c>
      <c r="R5" t="s">
        <v>81</v>
      </c>
      <c r="Z5" s="2"/>
      <c r="AM5" s="2"/>
      <c r="AP5" s="8"/>
      <c r="AQ5" s="8"/>
      <c r="AX5" s="7"/>
      <c r="AY5" s="7"/>
    </row>
    <row r="6" spans="1:51" x14ac:dyDescent="0.4">
      <c r="A6">
        <v>11242929</v>
      </c>
      <c r="B6" t="s">
        <v>329</v>
      </c>
      <c r="C6" t="s">
        <v>13</v>
      </c>
      <c r="D6" t="s">
        <v>20</v>
      </c>
      <c r="E6" t="s">
        <v>28</v>
      </c>
      <c r="F6" t="s">
        <v>261</v>
      </c>
      <c r="G6" t="s">
        <v>330</v>
      </c>
      <c r="H6" t="s">
        <v>18</v>
      </c>
      <c r="J6" t="s">
        <v>331</v>
      </c>
      <c r="K6" t="s">
        <v>18</v>
      </c>
      <c r="L6" t="s">
        <v>18</v>
      </c>
      <c r="M6" t="s">
        <v>18</v>
      </c>
      <c r="N6" s="2">
        <v>46219.656944444447</v>
      </c>
      <c r="O6" t="s">
        <v>17</v>
      </c>
      <c r="P6" t="s">
        <v>14</v>
      </c>
      <c r="Q6" s="2">
        <v>46223.681944444441</v>
      </c>
      <c r="R6" t="s">
        <v>87</v>
      </c>
      <c r="AM6" s="2"/>
      <c r="AP6" s="8"/>
      <c r="AQ6" s="8"/>
      <c r="AX6" s="7"/>
      <c r="AY6" s="7"/>
    </row>
    <row r="7" spans="1:51" x14ac:dyDescent="0.4">
      <c r="A7">
        <v>11255938</v>
      </c>
      <c r="B7" t="s">
        <v>373</v>
      </c>
      <c r="C7" t="s">
        <v>13</v>
      </c>
      <c r="D7" t="s">
        <v>15</v>
      </c>
      <c r="E7" t="s">
        <v>23</v>
      </c>
      <c r="F7" t="s">
        <v>252</v>
      </c>
      <c r="G7" t="s">
        <v>374</v>
      </c>
      <c r="H7" t="s">
        <v>18</v>
      </c>
      <c r="J7" t="s">
        <v>375</v>
      </c>
      <c r="K7" t="s">
        <v>18</v>
      </c>
      <c r="L7" t="s">
        <v>19</v>
      </c>
      <c r="M7" t="s">
        <v>18</v>
      </c>
      <c r="N7" s="2">
        <v>46223.289583333331</v>
      </c>
      <c r="O7" t="s">
        <v>17</v>
      </c>
      <c r="P7" t="s">
        <v>14</v>
      </c>
      <c r="Q7" s="2">
        <v>46223.679166666669</v>
      </c>
      <c r="R7" t="s">
        <v>81</v>
      </c>
      <c r="AM7" s="2"/>
      <c r="AP7" s="8"/>
      <c r="AQ7" s="8"/>
      <c r="AX7" s="7"/>
      <c r="AY7" s="7"/>
    </row>
    <row r="8" spans="1:51" x14ac:dyDescent="0.4">
      <c r="A8">
        <v>11257891</v>
      </c>
      <c r="B8" t="s">
        <v>474</v>
      </c>
      <c r="C8" t="s">
        <v>13</v>
      </c>
      <c r="D8" t="s">
        <v>169</v>
      </c>
      <c r="E8" t="s">
        <v>16</v>
      </c>
      <c r="G8" t="s">
        <v>239</v>
      </c>
      <c r="H8" t="s">
        <v>18</v>
      </c>
      <c r="J8" t="s">
        <v>475</v>
      </c>
      <c r="K8" t="s">
        <v>18</v>
      </c>
      <c r="L8" t="s">
        <v>18</v>
      </c>
      <c r="M8" t="s">
        <v>18</v>
      </c>
      <c r="N8" s="2">
        <v>46223.678472222222</v>
      </c>
      <c r="O8" t="s">
        <v>22</v>
      </c>
      <c r="P8" t="s">
        <v>14</v>
      </c>
      <c r="Q8" s="2">
        <v>46223.678472222222</v>
      </c>
      <c r="R8" t="s">
        <v>81</v>
      </c>
      <c r="Z8" s="2"/>
      <c r="AM8" s="2"/>
      <c r="AP8" s="8"/>
      <c r="AQ8" s="8"/>
      <c r="AX8" s="7"/>
      <c r="AY8" s="7"/>
    </row>
    <row r="9" spans="1:51" x14ac:dyDescent="0.4">
      <c r="A9">
        <v>11256245</v>
      </c>
      <c r="B9" t="s">
        <v>378</v>
      </c>
      <c r="C9" t="s">
        <v>13</v>
      </c>
      <c r="D9" t="s">
        <v>15</v>
      </c>
      <c r="E9" t="s">
        <v>16</v>
      </c>
      <c r="F9" t="s">
        <v>281</v>
      </c>
      <c r="G9" t="s">
        <v>239</v>
      </c>
      <c r="H9" t="s">
        <v>18</v>
      </c>
      <c r="J9" t="s">
        <v>379</v>
      </c>
      <c r="K9" t="s">
        <v>18</v>
      </c>
      <c r="L9" t="s">
        <v>18</v>
      </c>
      <c r="M9" t="s">
        <v>18</v>
      </c>
      <c r="N9" s="2">
        <v>46223.408333333333</v>
      </c>
      <c r="O9" t="s">
        <v>22</v>
      </c>
      <c r="P9" t="s">
        <v>14</v>
      </c>
      <c r="Q9" s="2">
        <v>46223.668055555558</v>
      </c>
      <c r="R9" t="s">
        <v>81</v>
      </c>
      <c r="Z9" s="2"/>
      <c r="AM9" s="2"/>
      <c r="AP9" s="8"/>
      <c r="AQ9" s="8"/>
      <c r="AX9" s="7"/>
      <c r="AY9" s="7"/>
    </row>
    <row r="10" spans="1:51" x14ac:dyDescent="0.4">
      <c r="A10">
        <v>11255964</v>
      </c>
      <c r="B10" t="s">
        <v>370</v>
      </c>
      <c r="C10" t="s">
        <v>13</v>
      </c>
      <c r="D10" t="s">
        <v>15</v>
      </c>
      <c r="E10" t="s">
        <v>23</v>
      </c>
      <c r="F10" t="s">
        <v>251</v>
      </c>
      <c r="G10" t="s">
        <v>371</v>
      </c>
      <c r="H10" t="s">
        <v>18</v>
      </c>
      <c r="J10" t="s">
        <v>372</v>
      </c>
      <c r="K10" t="s">
        <v>18</v>
      </c>
      <c r="L10" t="s">
        <v>19</v>
      </c>
      <c r="M10" t="s">
        <v>18</v>
      </c>
      <c r="N10" s="2">
        <v>46223.303472222222</v>
      </c>
      <c r="O10" t="s">
        <v>17</v>
      </c>
      <c r="P10" t="s">
        <v>14</v>
      </c>
      <c r="Q10" s="2">
        <v>46223.667361111111</v>
      </c>
      <c r="R10" t="s">
        <v>81</v>
      </c>
      <c r="AM10" s="2"/>
      <c r="AP10" s="8"/>
      <c r="AQ10" s="8"/>
      <c r="AX10" s="7"/>
      <c r="AY10" s="7"/>
    </row>
    <row r="11" spans="1:51" x14ac:dyDescent="0.4">
      <c r="A11">
        <v>11184539</v>
      </c>
      <c r="B11" t="s">
        <v>128</v>
      </c>
      <c r="C11" t="s">
        <v>13</v>
      </c>
      <c r="D11" t="s">
        <v>15</v>
      </c>
      <c r="E11" t="s">
        <v>16</v>
      </c>
      <c r="F11" t="s">
        <v>229</v>
      </c>
      <c r="G11" t="s">
        <v>293</v>
      </c>
      <c r="H11" t="s">
        <v>18</v>
      </c>
      <c r="J11" t="s">
        <v>130</v>
      </c>
      <c r="K11" t="s">
        <v>18</v>
      </c>
      <c r="L11" t="s">
        <v>18</v>
      </c>
      <c r="M11" t="s">
        <v>18</v>
      </c>
      <c r="N11" s="2">
        <v>46203.852777777778</v>
      </c>
      <c r="O11" t="s">
        <v>129</v>
      </c>
      <c r="P11" t="s">
        <v>25</v>
      </c>
      <c r="Q11" s="2">
        <v>46223.666666666664</v>
      </c>
      <c r="R11" t="s">
        <v>82</v>
      </c>
      <c r="Z11" s="2"/>
      <c r="AM11" s="2"/>
      <c r="AP11" s="8"/>
      <c r="AQ11" s="8"/>
      <c r="AX11" s="7"/>
      <c r="AY11" s="7"/>
    </row>
    <row r="12" spans="1:51" x14ac:dyDescent="0.4">
      <c r="A12">
        <v>11256918</v>
      </c>
      <c r="B12" t="s">
        <v>476</v>
      </c>
      <c r="C12" t="s">
        <v>13</v>
      </c>
      <c r="D12" t="s">
        <v>15</v>
      </c>
      <c r="E12" t="s">
        <v>16</v>
      </c>
      <c r="F12" t="s">
        <v>229</v>
      </c>
      <c r="G12" t="s">
        <v>239</v>
      </c>
      <c r="H12" t="s">
        <v>18</v>
      </c>
      <c r="J12" t="s">
        <v>477</v>
      </c>
      <c r="K12" t="s">
        <v>18</v>
      </c>
      <c r="L12" t="s">
        <v>18</v>
      </c>
      <c r="M12" t="s">
        <v>18</v>
      </c>
      <c r="N12" s="2">
        <v>46223.54791666667</v>
      </c>
      <c r="O12" t="s">
        <v>22</v>
      </c>
      <c r="P12" t="s">
        <v>14</v>
      </c>
      <c r="Q12" s="2">
        <v>46223.659722222219</v>
      </c>
      <c r="R12" t="s">
        <v>81</v>
      </c>
      <c r="Z12" s="2"/>
      <c r="AM12" s="2"/>
      <c r="AP12" s="8"/>
      <c r="AQ12" s="8"/>
      <c r="AX12" s="7"/>
      <c r="AY12" s="7"/>
    </row>
    <row r="13" spans="1:51" x14ac:dyDescent="0.4">
      <c r="A13">
        <v>11257642</v>
      </c>
      <c r="B13" t="s">
        <v>478</v>
      </c>
      <c r="C13" t="s">
        <v>13</v>
      </c>
      <c r="D13" t="s">
        <v>15</v>
      </c>
      <c r="E13" t="s">
        <v>28</v>
      </c>
      <c r="F13" t="s">
        <v>261</v>
      </c>
      <c r="G13" t="s">
        <v>330</v>
      </c>
      <c r="H13" t="s">
        <v>18</v>
      </c>
      <c r="J13" t="s">
        <v>479</v>
      </c>
      <c r="K13" t="s">
        <v>18</v>
      </c>
      <c r="L13" t="s">
        <v>18</v>
      </c>
      <c r="M13" t="s">
        <v>18</v>
      </c>
      <c r="N13" s="2">
        <v>46223.642361111109</v>
      </c>
      <c r="O13" t="s">
        <v>17</v>
      </c>
      <c r="P13" t="s">
        <v>14</v>
      </c>
      <c r="Q13" s="2">
        <v>46223.65347222222</v>
      </c>
      <c r="R13" t="s">
        <v>81</v>
      </c>
      <c r="AM13" s="2"/>
      <c r="AP13" s="8"/>
      <c r="AQ13" s="8"/>
      <c r="AX13" s="7"/>
      <c r="AY13" s="7"/>
    </row>
    <row r="14" spans="1:51" x14ac:dyDescent="0.4">
      <c r="A14">
        <v>11221289</v>
      </c>
      <c r="B14" t="s">
        <v>133</v>
      </c>
      <c r="C14" t="s">
        <v>13</v>
      </c>
      <c r="D14" t="s">
        <v>15</v>
      </c>
      <c r="E14" t="s">
        <v>16</v>
      </c>
      <c r="F14" t="s">
        <v>311</v>
      </c>
      <c r="G14" t="s">
        <v>317</v>
      </c>
      <c r="H14" t="s">
        <v>18</v>
      </c>
      <c r="J14" t="s">
        <v>134</v>
      </c>
      <c r="K14" t="s">
        <v>18</v>
      </c>
      <c r="L14" t="s">
        <v>18</v>
      </c>
      <c r="M14" t="s">
        <v>18</v>
      </c>
      <c r="N14" s="2">
        <v>46213.45</v>
      </c>
      <c r="O14" t="s">
        <v>17</v>
      </c>
      <c r="P14" t="s">
        <v>25</v>
      </c>
      <c r="Q14" s="2">
        <v>46223.652083333334</v>
      </c>
      <c r="R14" t="s">
        <v>88</v>
      </c>
      <c r="Z14" s="2"/>
      <c r="AM14" s="2"/>
      <c r="AP14" s="8"/>
      <c r="AQ14" s="8"/>
      <c r="AX14" s="7"/>
      <c r="AY14" s="7"/>
    </row>
    <row r="15" spans="1:51" x14ac:dyDescent="0.4">
      <c r="A15">
        <v>11256933</v>
      </c>
      <c r="B15" t="s">
        <v>480</v>
      </c>
      <c r="C15" t="s">
        <v>13</v>
      </c>
      <c r="D15" t="s">
        <v>15</v>
      </c>
      <c r="E15" t="s">
        <v>16</v>
      </c>
      <c r="F15" t="s">
        <v>240</v>
      </c>
      <c r="G15" t="s">
        <v>481</v>
      </c>
      <c r="H15" t="s">
        <v>18</v>
      </c>
      <c r="J15" t="s">
        <v>482</v>
      </c>
      <c r="K15" t="s">
        <v>18</v>
      </c>
      <c r="L15" t="s">
        <v>18</v>
      </c>
      <c r="M15" t="s">
        <v>18</v>
      </c>
      <c r="N15" s="2">
        <v>46223.552083333336</v>
      </c>
      <c r="O15" t="s">
        <v>17</v>
      </c>
      <c r="P15" t="s">
        <v>14</v>
      </c>
      <c r="Q15" s="2">
        <v>46223.650694444441</v>
      </c>
      <c r="R15" t="s">
        <v>81</v>
      </c>
      <c r="AM15" s="2"/>
      <c r="AP15" s="8"/>
      <c r="AQ15" s="8"/>
      <c r="AX15" s="7"/>
      <c r="AY15" s="7"/>
    </row>
    <row r="16" spans="1:51" x14ac:dyDescent="0.4">
      <c r="A16">
        <v>11256624</v>
      </c>
      <c r="B16" t="s">
        <v>357</v>
      </c>
      <c r="C16" t="s">
        <v>13</v>
      </c>
      <c r="D16" t="s">
        <v>15</v>
      </c>
      <c r="E16" t="s">
        <v>16</v>
      </c>
      <c r="F16" t="s">
        <v>240</v>
      </c>
      <c r="G16" t="s">
        <v>358</v>
      </c>
      <c r="H16" t="s">
        <v>18</v>
      </c>
      <c r="J16" t="s">
        <v>359</v>
      </c>
      <c r="K16" t="s">
        <v>18</v>
      </c>
      <c r="L16" t="s">
        <v>18</v>
      </c>
      <c r="M16" t="s">
        <v>18</v>
      </c>
      <c r="N16" s="2">
        <v>46223.499305555553</v>
      </c>
      <c r="O16" t="s">
        <v>17</v>
      </c>
      <c r="P16" t="s">
        <v>14</v>
      </c>
      <c r="Q16" s="2">
        <v>46223.649305555555</v>
      </c>
      <c r="R16" t="s">
        <v>81</v>
      </c>
      <c r="AM16" s="2"/>
      <c r="AP16" s="8"/>
      <c r="AQ16" s="8"/>
      <c r="AX16" s="7"/>
      <c r="AY16" s="7"/>
    </row>
    <row r="17" spans="1:51" x14ac:dyDescent="0.4">
      <c r="A17">
        <v>11157750</v>
      </c>
      <c r="B17" t="s">
        <v>12</v>
      </c>
      <c r="C17" t="s">
        <v>13</v>
      </c>
      <c r="D17" t="s">
        <v>20</v>
      </c>
      <c r="E17" t="s">
        <v>16</v>
      </c>
      <c r="F17" t="s">
        <v>332</v>
      </c>
      <c r="G17" t="s">
        <v>245</v>
      </c>
      <c r="H17" t="s">
        <v>26</v>
      </c>
      <c r="J17" t="s">
        <v>211</v>
      </c>
      <c r="K17" t="s">
        <v>26</v>
      </c>
      <c r="L17" t="s">
        <v>26</v>
      </c>
      <c r="M17" t="s">
        <v>26</v>
      </c>
      <c r="N17" s="2">
        <v>46196.720833333333</v>
      </c>
      <c r="O17" t="s">
        <v>17</v>
      </c>
      <c r="P17" t="s">
        <v>14</v>
      </c>
      <c r="Q17" s="2">
        <v>46223.643055555556</v>
      </c>
      <c r="R17" t="s">
        <v>82</v>
      </c>
      <c r="AM17" s="2"/>
      <c r="AP17" s="8"/>
      <c r="AQ17" s="8"/>
      <c r="AX17" s="7"/>
      <c r="AY17" s="7"/>
    </row>
    <row r="18" spans="1:51" x14ac:dyDescent="0.4">
      <c r="A18">
        <v>11257590</v>
      </c>
      <c r="B18" t="s">
        <v>483</v>
      </c>
      <c r="C18" t="s">
        <v>13</v>
      </c>
      <c r="D18" t="s">
        <v>15</v>
      </c>
      <c r="E18" t="s">
        <v>28</v>
      </c>
      <c r="F18" t="s">
        <v>236</v>
      </c>
      <c r="G18" t="s">
        <v>484</v>
      </c>
      <c r="H18" t="s">
        <v>18</v>
      </c>
      <c r="J18" t="s">
        <v>485</v>
      </c>
      <c r="K18" t="s">
        <v>18</v>
      </c>
      <c r="L18" t="s">
        <v>18</v>
      </c>
      <c r="M18" t="s">
        <v>18</v>
      </c>
      <c r="N18" s="2">
        <v>46223.636111111111</v>
      </c>
      <c r="O18" t="s">
        <v>17</v>
      </c>
      <c r="P18" t="s">
        <v>14</v>
      </c>
      <c r="Q18" s="2">
        <v>46223.642361111109</v>
      </c>
      <c r="R18" t="s">
        <v>81</v>
      </c>
      <c r="AM18" s="2"/>
      <c r="AP18" s="8"/>
      <c r="AQ18" s="8"/>
      <c r="AX18" s="7"/>
      <c r="AY18" s="7"/>
    </row>
    <row r="19" spans="1:51" x14ac:dyDescent="0.4">
      <c r="A19">
        <v>11133180</v>
      </c>
      <c r="B19" t="s">
        <v>24</v>
      </c>
      <c r="C19" t="s">
        <v>13</v>
      </c>
      <c r="D19" t="s">
        <v>15</v>
      </c>
      <c r="E19" t="s">
        <v>21</v>
      </c>
      <c r="F19" t="s">
        <v>246</v>
      </c>
      <c r="G19" t="s">
        <v>264</v>
      </c>
      <c r="H19" t="s">
        <v>18</v>
      </c>
      <c r="J19" t="s">
        <v>55</v>
      </c>
      <c r="K19" t="s">
        <v>18</v>
      </c>
      <c r="L19" t="s">
        <v>18</v>
      </c>
      <c r="M19" t="s">
        <v>18</v>
      </c>
      <c r="N19" s="2">
        <v>46189.915972222225</v>
      </c>
      <c r="O19" t="s">
        <v>17</v>
      </c>
      <c r="P19" t="s">
        <v>25</v>
      </c>
      <c r="Q19" s="2">
        <v>46223.62777777778</v>
      </c>
      <c r="R19" t="s">
        <v>83</v>
      </c>
      <c r="AM19" s="2"/>
      <c r="AP19" s="8"/>
      <c r="AQ19" s="8"/>
      <c r="AX19" s="7"/>
      <c r="AY19" s="7"/>
    </row>
    <row r="20" spans="1:51" x14ac:dyDescent="0.4">
      <c r="A20">
        <v>11248671</v>
      </c>
      <c r="B20" t="s">
        <v>218</v>
      </c>
      <c r="C20" t="s">
        <v>13</v>
      </c>
      <c r="D20" t="s">
        <v>15</v>
      </c>
      <c r="E20" t="s">
        <v>16</v>
      </c>
      <c r="F20" t="s">
        <v>486</v>
      </c>
      <c r="G20" t="s">
        <v>244</v>
      </c>
      <c r="H20" t="s">
        <v>18</v>
      </c>
      <c r="J20" t="s">
        <v>411</v>
      </c>
      <c r="K20" t="s">
        <v>18</v>
      </c>
      <c r="L20" t="s">
        <v>18</v>
      </c>
      <c r="M20" t="s">
        <v>18</v>
      </c>
      <c r="N20" s="2">
        <v>46220.816666666666</v>
      </c>
      <c r="O20" t="s">
        <v>17</v>
      </c>
      <c r="P20" t="s">
        <v>14</v>
      </c>
      <c r="Q20" s="2">
        <v>46223.62777777778</v>
      </c>
      <c r="R20" t="s">
        <v>85</v>
      </c>
      <c r="Z20" s="2"/>
      <c r="AM20" s="2"/>
      <c r="AP20" s="8"/>
      <c r="AQ20" s="8"/>
      <c r="AX20" s="7"/>
      <c r="AY20" s="7"/>
    </row>
    <row r="21" spans="1:51" x14ac:dyDescent="0.4">
      <c r="A21">
        <v>11238212</v>
      </c>
      <c r="B21" t="s">
        <v>172</v>
      </c>
      <c r="C21" t="s">
        <v>13</v>
      </c>
      <c r="D21" t="s">
        <v>15</v>
      </c>
      <c r="E21" t="s">
        <v>21</v>
      </c>
      <c r="F21" t="s">
        <v>263</v>
      </c>
      <c r="G21" t="s">
        <v>276</v>
      </c>
      <c r="H21" t="s">
        <v>18</v>
      </c>
      <c r="J21" t="s">
        <v>173</v>
      </c>
      <c r="K21" t="s">
        <v>18</v>
      </c>
      <c r="L21" t="s">
        <v>18</v>
      </c>
      <c r="M21" t="s">
        <v>18</v>
      </c>
      <c r="N21" s="2">
        <v>46218.615277777775</v>
      </c>
      <c r="O21" t="s">
        <v>27</v>
      </c>
      <c r="P21" t="s">
        <v>25</v>
      </c>
      <c r="Q21" s="2">
        <v>46223.625694444447</v>
      </c>
      <c r="R21" t="s">
        <v>86</v>
      </c>
      <c r="AM21" s="2"/>
      <c r="AP21" s="8"/>
      <c r="AQ21" s="8"/>
      <c r="AX21" s="7"/>
      <c r="AY21" s="7"/>
    </row>
    <row r="22" spans="1:51" x14ac:dyDescent="0.4">
      <c r="A22">
        <v>11127170</v>
      </c>
      <c r="B22" t="s">
        <v>12</v>
      </c>
      <c r="C22" t="s">
        <v>13</v>
      </c>
      <c r="D22" t="s">
        <v>15</v>
      </c>
      <c r="E22" t="s">
        <v>16</v>
      </c>
      <c r="F22" t="s">
        <v>311</v>
      </c>
      <c r="G22" t="s">
        <v>296</v>
      </c>
      <c r="H22" t="s">
        <v>26</v>
      </c>
      <c r="J22" t="s">
        <v>457</v>
      </c>
      <c r="K22" t="s">
        <v>26</v>
      </c>
      <c r="L22" t="s">
        <v>26</v>
      </c>
      <c r="M22" t="s">
        <v>26</v>
      </c>
      <c r="N22" s="2">
        <v>46188.678472222222</v>
      </c>
      <c r="O22" t="s">
        <v>17</v>
      </c>
      <c r="P22" t="s">
        <v>14</v>
      </c>
      <c r="Q22" s="2">
        <v>46223.625694444447</v>
      </c>
      <c r="R22" t="s">
        <v>83</v>
      </c>
      <c r="Z22" s="2"/>
      <c r="AM22" s="2"/>
      <c r="AP22" s="8"/>
      <c r="AQ22" s="8"/>
      <c r="AX22" s="7"/>
      <c r="AY22" s="7"/>
    </row>
    <row r="23" spans="1:51" x14ac:dyDescent="0.4">
      <c r="A23">
        <v>11055966</v>
      </c>
      <c r="B23" t="s">
        <v>24</v>
      </c>
      <c r="C23" t="s">
        <v>13</v>
      </c>
      <c r="D23" t="s">
        <v>15</v>
      </c>
      <c r="E23" t="s">
        <v>21</v>
      </c>
      <c r="F23" t="s">
        <v>246</v>
      </c>
      <c r="G23" t="s">
        <v>294</v>
      </c>
      <c r="H23" t="s">
        <v>18</v>
      </c>
      <c r="J23" t="s">
        <v>60</v>
      </c>
      <c r="K23" t="s">
        <v>18</v>
      </c>
      <c r="L23" t="s">
        <v>18</v>
      </c>
      <c r="M23" t="s">
        <v>18</v>
      </c>
      <c r="N23" s="2">
        <v>46170.729166666664</v>
      </c>
      <c r="O23" t="s">
        <v>17</v>
      </c>
      <c r="P23" t="s">
        <v>25</v>
      </c>
      <c r="Q23" s="2">
        <v>46223.622916666667</v>
      </c>
      <c r="R23" t="s">
        <v>83</v>
      </c>
      <c r="AM23" s="2"/>
      <c r="AP23" s="8"/>
      <c r="AQ23" s="8"/>
      <c r="AX23" s="7"/>
      <c r="AY23" s="7"/>
    </row>
    <row r="24" spans="1:51" x14ac:dyDescent="0.4">
      <c r="A24">
        <v>11138489</v>
      </c>
      <c r="B24" t="s">
        <v>12</v>
      </c>
      <c r="C24" t="s">
        <v>13</v>
      </c>
      <c r="D24" t="s">
        <v>15</v>
      </c>
      <c r="E24" t="s">
        <v>21</v>
      </c>
      <c r="F24" t="s">
        <v>227</v>
      </c>
      <c r="G24" t="s">
        <v>487</v>
      </c>
      <c r="H24" t="s">
        <v>18</v>
      </c>
      <c r="J24" t="s">
        <v>488</v>
      </c>
      <c r="K24" t="s">
        <v>19</v>
      </c>
      <c r="L24" t="s">
        <v>19</v>
      </c>
      <c r="M24" t="s">
        <v>19</v>
      </c>
      <c r="N24" s="2">
        <v>46191.129861111112</v>
      </c>
      <c r="O24" t="s">
        <v>17</v>
      </c>
      <c r="P24" t="s">
        <v>14</v>
      </c>
      <c r="Q24" s="2">
        <v>46223.62222222222</v>
      </c>
      <c r="R24" t="s">
        <v>83</v>
      </c>
      <c r="AM24" s="2"/>
      <c r="AP24" s="8"/>
      <c r="AQ24" s="8"/>
      <c r="AX24" s="7"/>
      <c r="AY24" s="7"/>
    </row>
    <row r="25" spans="1:51" x14ac:dyDescent="0.4">
      <c r="A25">
        <v>11234806</v>
      </c>
      <c r="B25" t="s">
        <v>395</v>
      </c>
      <c r="C25" t="s">
        <v>13</v>
      </c>
      <c r="D25" t="s">
        <v>20</v>
      </c>
      <c r="E25" t="s">
        <v>21</v>
      </c>
      <c r="F25" t="s">
        <v>263</v>
      </c>
      <c r="G25" t="s">
        <v>273</v>
      </c>
      <c r="H25" t="s">
        <v>18</v>
      </c>
      <c r="J25" t="s">
        <v>396</v>
      </c>
      <c r="K25" t="s">
        <v>18</v>
      </c>
      <c r="L25" t="s">
        <v>18</v>
      </c>
      <c r="M25" t="s">
        <v>18</v>
      </c>
      <c r="N25" s="2">
        <v>46217.801388888889</v>
      </c>
      <c r="O25" t="s">
        <v>129</v>
      </c>
      <c r="P25" t="s">
        <v>14</v>
      </c>
      <c r="Q25" s="2">
        <v>46223.60833333333</v>
      </c>
      <c r="R25" t="s">
        <v>86</v>
      </c>
      <c r="Z25" s="2"/>
      <c r="AM25" s="2"/>
      <c r="AP25" s="8"/>
      <c r="AQ25" s="8"/>
      <c r="AX25" s="7"/>
      <c r="AY25" s="7"/>
    </row>
    <row r="26" spans="1:51" x14ac:dyDescent="0.4">
      <c r="A26">
        <v>11248294</v>
      </c>
      <c r="B26" t="s">
        <v>421</v>
      </c>
      <c r="C26" t="s">
        <v>13</v>
      </c>
      <c r="D26" t="s">
        <v>15</v>
      </c>
      <c r="E26" t="s">
        <v>28</v>
      </c>
      <c r="F26" t="s">
        <v>222</v>
      </c>
      <c r="G26" t="s">
        <v>295</v>
      </c>
      <c r="H26" t="s">
        <v>26</v>
      </c>
      <c r="J26" t="s">
        <v>422</v>
      </c>
      <c r="K26" t="s">
        <v>26</v>
      </c>
      <c r="L26" t="s">
        <v>26</v>
      </c>
      <c r="M26" t="s">
        <v>26</v>
      </c>
      <c r="N26" s="2">
        <v>46220.724305555559</v>
      </c>
      <c r="O26" t="s">
        <v>17</v>
      </c>
      <c r="P26" t="s">
        <v>14</v>
      </c>
      <c r="Q26" s="2">
        <v>46223.60833333333</v>
      </c>
      <c r="R26" t="s">
        <v>85</v>
      </c>
      <c r="Z26" s="2"/>
      <c r="AM26" s="2"/>
      <c r="AP26" s="8"/>
      <c r="AQ26" s="8"/>
      <c r="AX26" s="7"/>
      <c r="AY26" s="7"/>
    </row>
    <row r="27" spans="1:51" x14ac:dyDescent="0.4">
      <c r="A27">
        <v>11215671</v>
      </c>
      <c r="B27" t="s">
        <v>106</v>
      </c>
      <c r="C27" t="s">
        <v>13</v>
      </c>
      <c r="D27" t="s">
        <v>15</v>
      </c>
      <c r="E27" t="s">
        <v>21</v>
      </c>
      <c r="F27" t="s">
        <v>246</v>
      </c>
      <c r="G27" t="s">
        <v>318</v>
      </c>
      <c r="H27" t="s">
        <v>18</v>
      </c>
      <c r="J27" t="s">
        <v>117</v>
      </c>
      <c r="K27" t="s">
        <v>18</v>
      </c>
      <c r="L27" t="s">
        <v>18</v>
      </c>
      <c r="M27" t="s">
        <v>18</v>
      </c>
      <c r="N27" s="2">
        <v>46211.964583333334</v>
      </c>
      <c r="O27" t="s">
        <v>17</v>
      </c>
      <c r="P27" t="s">
        <v>25</v>
      </c>
      <c r="Q27" s="2">
        <v>46223.607638888891</v>
      </c>
      <c r="R27" t="s">
        <v>88</v>
      </c>
      <c r="Z27" s="2"/>
      <c r="AM27" s="2"/>
      <c r="AP27" s="8"/>
      <c r="AQ27" s="8"/>
      <c r="AX27" s="7"/>
      <c r="AY27" s="7"/>
    </row>
    <row r="28" spans="1:51" x14ac:dyDescent="0.4">
      <c r="A28">
        <v>11249675</v>
      </c>
      <c r="B28" t="s">
        <v>393</v>
      </c>
      <c r="C28" t="s">
        <v>13</v>
      </c>
      <c r="D28" t="s">
        <v>15</v>
      </c>
      <c r="E28" t="s">
        <v>21</v>
      </c>
      <c r="F28" t="s">
        <v>268</v>
      </c>
      <c r="G28" t="s">
        <v>230</v>
      </c>
      <c r="H28" t="s">
        <v>18</v>
      </c>
      <c r="J28" t="s">
        <v>394</v>
      </c>
      <c r="K28" t="s">
        <v>19</v>
      </c>
      <c r="L28" t="s">
        <v>19</v>
      </c>
      <c r="M28" t="s">
        <v>19</v>
      </c>
      <c r="N28" s="2">
        <v>46221.119444444441</v>
      </c>
      <c r="O28" t="s">
        <v>17</v>
      </c>
      <c r="P28" t="s">
        <v>14</v>
      </c>
      <c r="Q28" s="2">
        <v>46223.604861111111</v>
      </c>
      <c r="R28" t="s">
        <v>85</v>
      </c>
      <c r="AM28" s="2"/>
      <c r="AP28" s="8"/>
      <c r="AQ28" s="8"/>
      <c r="AX28" s="7"/>
      <c r="AY28" s="7"/>
    </row>
    <row r="29" spans="1:51" x14ac:dyDescent="0.4">
      <c r="A29">
        <v>11257087</v>
      </c>
      <c r="B29" t="s">
        <v>489</v>
      </c>
      <c r="C29" t="s">
        <v>13</v>
      </c>
      <c r="D29" t="s">
        <v>15</v>
      </c>
      <c r="E29" t="s">
        <v>21</v>
      </c>
      <c r="F29" t="s">
        <v>268</v>
      </c>
      <c r="G29" t="s">
        <v>239</v>
      </c>
      <c r="H29" t="s">
        <v>19</v>
      </c>
      <c r="J29" t="s">
        <v>490</v>
      </c>
      <c r="K29" t="s">
        <v>19</v>
      </c>
      <c r="L29" t="s">
        <v>29</v>
      </c>
      <c r="M29" t="s">
        <v>18</v>
      </c>
      <c r="N29" s="2">
        <v>46223.571527777778</v>
      </c>
      <c r="O29" t="s">
        <v>22</v>
      </c>
      <c r="P29" t="s">
        <v>14</v>
      </c>
      <c r="Q29" s="2">
        <v>46223.602083333331</v>
      </c>
      <c r="R29" t="s">
        <v>81</v>
      </c>
      <c r="AM29" s="2"/>
      <c r="AP29" s="8"/>
      <c r="AQ29" s="8"/>
      <c r="AX29" s="7"/>
      <c r="AY29" s="7"/>
    </row>
    <row r="30" spans="1:51" x14ac:dyDescent="0.4">
      <c r="A30">
        <v>11257195</v>
      </c>
      <c r="B30" t="s">
        <v>491</v>
      </c>
      <c r="C30" t="s">
        <v>13</v>
      </c>
      <c r="D30" t="s">
        <v>15</v>
      </c>
      <c r="E30" t="s">
        <v>16</v>
      </c>
      <c r="F30" t="s">
        <v>229</v>
      </c>
      <c r="G30" t="s">
        <v>492</v>
      </c>
      <c r="H30" t="s">
        <v>18</v>
      </c>
      <c r="J30" t="s">
        <v>493</v>
      </c>
      <c r="K30" t="s">
        <v>18</v>
      </c>
      <c r="L30" t="s">
        <v>18</v>
      </c>
      <c r="M30" t="s">
        <v>18</v>
      </c>
      <c r="N30" s="2">
        <v>46223.582638888889</v>
      </c>
      <c r="O30" t="s">
        <v>17</v>
      </c>
      <c r="P30" t="s">
        <v>25</v>
      </c>
      <c r="Q30" s="2">
        <v>46223.587500000001</v>
      </c>
      <c r="R30" t="s">
        <v>81</v>
      </c>
      <c r="Z30" s="2"/>
      <c r="AM30" s="2"/>
      <c r="AP30" s="8"/>
      <c r="AQ30" s="8"/>
      <c r="AX30" s="7"/>
      <c r="AY30" s="7"/>
    </row>
    <row r="31" spans="1:51" x14ac:dyDescent="0.4">
      <c r="A31">
        <v>11188790</v>
      </c>
      <c r="B31" t="s">
        <v>79</v>
      </c>
      <c r="C31" t="s">
        <v>13</v>
      </c>
      <c r="D31" t="s">
        <v>15</v>
      </c>
      <c r="E31" t="s">
        <v>21</v>
      </c>
      <c r="F31" t="s">
        <v>232</v>
      </c>
      <c r="G31" t="s">
        <v>267</v>
      </c>
      <c r="H31" t="s">
        <v>18</v>
      </c>
      <c r="J31" t="s">
        <v>80</v>
      </c>
      <c r="K31" t="s">
        <v>18</v>
      </c>
      <c r="L31" t="s">
        <v>18</v>
      </c>
      <c r="M31" t="s">
        <v>18</v>
      </c>
      <c r="N31" s="2">
        <v>46204.825694444444</v>
      </c>
      <c r="O31" t="s">
        <v>17</v>
      </c>
      <c r="P31" t="s">
        <v>25</v>
      </c>
      <c r="Q31" s="2">
        <v>46223.584722222222</v>
      </c>
      <c r="R31" t="s">
        <v>82</v>
      </c>
      <c r="Z31" s="2"/>
      <c r="AM31" s="2"/>
      <c r="AP31" s="8"/>
      <c r="AQ31" s="8"/>
      <c r="AX31" s="7"/>
      <c r="AY31" s="7"/>
    </row>
    <row r="32" spans="1:51" x14ac:dyDescent="0.4">
      <c r="A32">
        <v>11257184</v>
      </c>
      <c r="B32" t="s">
        <v>494</v>
      </c>
      <c r="C32" t="s">
        <v>13</v>
      </c>
      <c r="D32" t="s">
        <v>15</v>
      </c>
      <c r="E32" t="s">
        <v>16</v>
      </c>
      <c r="F32" t="s">
        <v>225</v>
      </c>
      <c r="G32" t="s">
        <v>495</v>
      </c>
      <c r="H32" t="s">
        <v>18</v>
      </c>
      <c r="J32" t="s">
        <v>496</v>
      </c>
      <c r="K32" t="s">
        <v>18</v>
      </c>
      <c r="L32" t="s">
        <v>18</v>
      </c>
      <c r="M32" t="s">
        <v>18</v>
      </c>
      <c r="N32" s="2">
        <v>46223.581250000003</v>
      </c>
      <c r="O32" t="s">
        <v>17</v>
      </c>
      <c r="P32" t="s">
        <v>14</v>
      </c>
      <c r="Q32" s="2">
        <v>46223.581944444442</v>
      </c>
      <c r="R32" t="s">
        <v>81</v>
      </c>
      <c r="AM32" s="2"/>
      <c r="AP32" s="8"/>
      <c r="AQ32" s="8"/>
      <c r="AX32" s="7"/>
      <c r="AY32" s="7"/>
    </row>
    <row r="33" spans="1:51" x14ac:dyDescent="0.4">
      <c r="A33">
        <v>11023800</v>
      </c>
      <c r="B33" t="s">
        <v>73</v>
      </c>
      <c r="C33" t="s">
        <v>13</v>
      </c>
      <c r="D33" t="s">
        <v>20</v>
      </c>
      <c r="E33" t="s">
        <v>21</v>
      </c>
      <c r="F33" t="s">
        <v>227</v>
      </c>
      <c r="G33" t="s">
        <v>228</v>
      </c>
      <c r="H33" t="s">
        <v>18</v>
      </c>
      <c r="J33" t="s">
        <v>126</v>
      </c>
      <c r="K33" t="s">
        <v>18</v>
      </c>
      <c r="L33" t="s">
        <v>18</v>
      </c>
      <c r="M33" t="s">
        <v>18</v>
      </c>
      <c r="N33" s="2">
        <v>46162.955555555556</v>
      </c>
      <c r="O33" t="s">
        <v>74</v>
      </c>
      <c r="P33" t="s">
        <v>14</v>
      </c>
      <c r="Q33" s="2">
        <v>46223.578472222223</v>
      </c>
      <c r="R33" t="s">
        <v>84</v>
      </c>
      <c r="AM33" s="2"/>
      <c r="AP33" s="8"/>
      <c r="AQ33" s="8"/>
      <c r="AX33" s="7"/>
      <c r="AY33" s="7"/>
    </row>
    <row r="34" spans="1:51" x14ac:dyDescent="0.4">
      <c r="A34">
        <v>11256667</v>
      </c>
      <c r="B34" t="s">
        <v>497</v>
      </c>
      <c r="C34" t="s">
        <v>13</v>
      </c>
      <c r="D34" t="s">
        <v>15</v>
      </c>
      <c r="E34" t="s">
        <v>51</v>
      </c>
      <c r="F34" t="s">
        <v>224</v>
      </c>
      <c r="G34" t="s">
        <v>498</v>
      </c>
      <c r="H34" t="s">
        <v>18</v>
      </c>
      <c r="J34" t="s">
        <v>499</v>
      </c>
      <c r="K34" t="s">
        <v>19</v>
      </c>
      <c r="L34" t="s">
        <v>19</v>
      </c>
      <c r="M34" t="s">
        <v>19</v>
      </c>
      <c r="N34" s="2">
        <v>46223.506944444445</v>
      </c>
      <c r="O34" t="s">
        <v>17</v>
      </c>
      <c r="P34" t="s">
        <v>14</v>
      </c>
      <c r="Q34" s="2">
        <v>46223.576388888891</v>
      </c>
      <c r="R34" t="s">
        <v>81</v>
      </c>
      <c r="AM34" s="2"/>
      <c r="AP34" s="8"/>
      <c r="AQ34" s="8"/>
      <c r="AX34" s="7"/>
      <c r="AY34" s="7"/>
    </row>
    <row r="35" spans="1:51" x14ac:dyDescent="0.4">
      <c r="A35">
        <v>11254026</v>
      </c>
      <c r="B35" t="s">
        <v>397</v>
      </c>
      <c r="C35" t="s">
        <v>13</v>
      </c>
      <c r="D35" t="s">
        <v>15</v>
      </c>
      <c r="E35" t="s">
        <v>16</v>
      </c>
      <c r="F35" t="s">
        <v>500</v>
      </c>
      <c r="G35" t="s">
        <v>239</v>
      </c>
      <c r="H35" t="s">
        <v>18</v>
      </c>
      <c r="J35" t="s">
        <v>398</v>
      </c>
      <c r="K35" t="s">
        <v>18</v>
      </c>
      <c r="L35" t="s">
        <v>18</v>
      </c>
      <c r="M35" t="s">
        <v>18</v>
      </c>
      <c r="N35" s="2">
        <v>46222.489583333336</v>
      </c>
      <c r="O35" t="s">
        <v>22</v>
      </c>
      <c r="P35" t="s">
        <v>14</v>
      </c>
      <c r="Q35" s="2">
        <v>46223.567361111112</v>
      </c>
      <c r="R35" t="s">
        <v>85</v>
      </c>
      <c r="AM35" s="2"/>
      <c r="AP35" s="8"/>
      <c r="AQ35" s="8"/>
      <c r="AX35" s="7"/>
      <c r="AY35" s="7"/>
    </row>
    <row r="36" spans="1:51" x14ac:dyDescent="0.4">
      <c r="A36">
        <v>11255572</v>
      </c>
      <c r="B36" t="s">
        <v>386</v>
      </c>
      <c r="C36" t="s">
        <v>13</v>
      </c>
      <c r="D36" t="s">
        <v>15</v>
      </c>
      <c r="E36" t="s">
        <v>16</v>
      </c>
      <c r="F36" t="s">
        <v>500</v>
      </c>
      <c r="G36" t="s">
        <v>239</v>
      </c>
      <c r="H36" t="s">
        <v>18</v>
      </c>
      <c r="J36" t="s">
        <v>387</v>
      </c>
      <c r="K36" t="s">
        <v>18</v>
      </c>
      <c r="L36" t="s">
        <v>18</v>
      </c>
      <c r="M36" t="s">
        <v>18</v>
      </c>
      <c r="N36" s="2">
        <v>46223.131944444445</v>
      </c>
      <c r="O36" t="s">
        <v>22</v>
      </c>
      <c r="P36" t="s">
        <v>14</v>
      </c>
      <c r="Q36" s="2">
        <v>46223.566666666666</v>
      </c>
      <c r="R36" t="s">
        <v>81</v>
      </c>
      <c r="Z36" s="2"/>
      <c r="AM36" s="2"/>
      <c r="AP36" s="8"/>
      <c r="AQ36" s="8"/>
      <c r="AX36" s="7"/>
      <c r="AY36" s="7"/>
    </row>
    <row r="37" spans="1:51" x14ac:dyDescent="0.4">
      <c r="A37">
        <v>11257007</v>
      </c>
      <c r="B37" t="s">
        <v>501</v>
      </c>
      <c r="C37" t="s">
        <v>13</v>
      </c>
      <c r="D37" t="s">
        <v>15</v>
      </c>
      <c r="E37" t="s">
        <v>16</v>
      </c>
      <c r="F37" t="s">
        <v>225</v>
      </c>
      <c r="G37" t="s">
        <v>502</v>
      </c>
      <c r="H37" t="s">
        <v>18</v>
      </c>
      <c r="J37" t="s">
        <v>503</v>
      </c>
      <c r="K37" t="s">
        <v>19</v>
      </c>
      <c r="L37" t="s">
        <v>19</v>
      </c>
      <c r="M37" t="s">
        <v>19</v>
      </c>
      <c r="N37" s="2">
        <v>46223.561111111114</v>
      </c>
      <c r="O37" t="s">
        <v>17</v>
      </c>
      <c r="P37" t="s">
        <v>14</v>
      </c>
      <c r="Q37" s="2">
        <v>46223.564583333333</v>
      </c>
      <c r="R37" t="s">
        <v>81</v>
      </c>
      <c r="Z37" s="2"/>
      <c r="AM37" s="2"/>
      <c r="AP37" s="8"/>
      <c r="AQ37" s="8"/>
      <c r="AX37" s="7"/>
      <c r="AY37" s="7"/>
    </row>
    <row r="38" spans="1:51" x14ac:dyDescent="0.4">
      <c r="A38">
        <v>11211747</v>
      </c>
      <c r="B38" t="s">
        <v>102</v>
      </c>
      <c r="C38" t="s">
        <v>13</v>
      </c>
      <c r="D38" t="s">
        <v>20</v>
      </c>
      <c r="E38" t="s">
        <v>21</v>
      </c>
      <c r="F38" t="s">
        <v>227</v>
      </c>
      <c r="G38" t="s">
        <v>231</v>
      </c>
      <c r="H38" t="s">
        <v>18</v>
      </c>
      <c r="J38" t="s">
        <v>103</v>
      </c>
      <c r="K38" t="s">
        <v>18</v>
      </c>
      <c r="L38" t="s">
        <v>19</v>
      </c>
      <c r="M38" t="s">
        <v>18</v>
      </c>
      <c r="N38" s="2">
        <v>46211.143750000003</v>
      </c>
      <c r="O38" t="s">
        <v>17</v>
      </c>
      <c r="P38" t="s">
        <v>14</v>
      </c>
      <c r="Q38" s="2">
        <v>46223.563194444447</v>
      </c>
      <c r="R38" t="s">
        <v>88</v>
      </c>
      <c r="AM38" s="2"/>
      <c r="AP38" s="8"/>
      <c r="AQ38" s="8"/>
      <c r="AX38" s="7"/>
      <c r="AY38" s="7"/>
    </row>
    <row r="39" spans="1:51" x14ac:dyDescent="0.4">
      <c r="A39">
        <v>10975233</v>
      </c>
      <c r="B39" t="s">
        <v>24</v>
      </c>
      <c r="C39" t="s">
        <v>13</v>
      </c>
      <c r="D39" t="s">
        <v>15</v>
      </c>
      <c r="E39" t="s">
        <v>21</v>
      </c>
      <c r="F39" t="s">
        <v>246</v>
      </c>
      <c r="G39" t="s">
        <v>247</v>
      </c>
      <c r="H39" t="s">
        <v>18</v>
      </c>
      <c r="J39" t="s">
        <v>41</v>
      </c>
      <c r="K39" t="s">
        <v>18</v>
      </c>
      <c r="L39" t="s">
        <v>18</v>
      </c>
      <c r="M39" t="s">
        <v>18</v>
      </c>
      <c r="N39" s="2">
        <v>46153.835416666669</v>
      </c>
      <c r="O39" t="s">
        <v>17</v>
      </c>
      <c r="P39" t="s">
        <v>25</v>
      </c>
      <c r="Q39" s="2">
        <v>46223.561111111114</v>
      </c>
      <c r="R39" t="s">
        <v>84</v>
      </c>
      <c r="Z39" s="2"/>
      <c r="AM39" s="2"/>
      <c r="AP39" s="8"/>
      <c r="AQ39" s="8"/>
      <c r="AX39" s="7"/>
      <c r="AY39" s="7"/>
    </row>
    <row r="40" spans="1:51" x14ac:dyDescent="0.4">
      <c r="A40">
        <v>11256976</v>
      </c>
      <c r="B40" t="s">
        <v>504</v>
      </c>
      <c r="C40" t="s">
        <v>13</v>
      </c>
      <c r="D40" t="s">
        <v>15</v>
      </c>
      <c r="E40" t="s">
        <v>16</v>
      </c>
      <c r="F40" t="s">
        <v>225</v>
      </c>
      <c r="G40" t="s">
        <v>505</v>
      </c>
      <c r="H40" t="s">
        <v>18</v>
      </c>
      <c r="J40" t="s">
        <v>506</v>
      </c>
      <c r="K40" t="s">
        <v>19</v>
      </c>
      <c r="L40" t="s">
        <v>19</v>
      </c>
      <c r="M40" t="s">
        <v>19</v>
      </c>
      <c r="N40" s="2">
        <v>46223.559027777781</v>
      </c>
      <c r="O40" t="s">
        <v>17</v>
      </c>
      <c r="P40" t="s">
        <v>14</v>
      </c>
      <c r="Q40" s="2">
        <v>46223.560416666667</v>
      </c>
      <c r="R40" t="s">
        <v>81</v>
      </c>
      <c r="Z40" s="2"/>
      <c r="AM40" s="2"/>
      <c r="AP40" s="8"/>
      <c r="AQ40" s="8"/>
      <c r="AX40" s="7"/>
      <c r="AY40" s="7"/>
    </row>
    <row r="41" spans="1:51" x14ac:dyDescent="0.4">
      <c r="A41">
        <v>11256676</v>
      </c>
      <c r="B41" t="s">
        <v>507</v>
      </c>
      <c r="C41" t="s">
        <v>13</v>
      </c>
      <c r="D41" t="s">
        <v>15</v>
      </c>
      <c r="E41" t="s">
        <v>16</v>
      </c>
      <c r="F41" t="s">
        <v>225</v>
      </c>
      <c r="G41" t="s">
        <v>508</v>
      </c>
      <c r="H41" t="s">
        <v>18</v>
      </c>
      <c r="J41" t="s">
        <v>509</v>
      </c>
      <c r="K41" t="s">
        <v>18</v>
      </c>
      <c r="L41" t="s">
        <v>29</v>
      </c>
      <c r="M41" t="s">
        <v>18</v>
      </c>
      <c r="N41" s="2">
        <v>46223.509027777778</v>
      </c>
      <c r="O41" t="s">
        <v>17</v>
      </c>
      <c r="P41" t="s">
        <v>14</v>
      </c>
      <c r="Q41" s="2">
        <v>46223.558333333334</v>
      </c>
      <c r="R41" t="s">
        <v>81</v>
      </c>
      <c r="Z41" s="2"/>
      <c r="AM41" s="2"/>
      <c r="AP41" s="8"/>
      <c r="AQ41" s="8"/>
      <c r="AX41" s="7"/>
      <c r="AY41" s="7"/>
    </row>
    <row r="42" spans="1:51" x14ac:dyDescent="0.4">
      <c r="A42">
        <v>11256306</v>
      </c>
      <c r="B42" t="s">
        <v>376</v>
      </c>
      <c r="C42" t="s">
        <v>13</v>
      </c>
      <c r="D42" t="s">
        <v>15</v>
      </c>
      <c r="E42" t="s">
        <v>16</v>
      </c>
      <c r="F42" t="s">
        <v>500</v>
      </c>
      <c r="G42" t="s">
        <v>239</v>
      </c>
      <c r="H42" t="s">
        <v>18</v>
      </c>
      <c r="J42" t="s">
        <v>377</v>
      </c>
      <c r="K42" t="s">
        <v>18</v>
      </c>
      <c r="L42" t="s">
        <v>18</v>
      </c>
      <c r="M42" t="s">
        <v>18</v>
      </c>
      <c r="N42" s="2">
        <v>46223.431944444441</v>
      </c>
      <c r="O42" t="s">
        <v>22</v>
      </c>
      <c r="P42" t="s">
        <v>14</v>
      </c>
      <c r="Q42" s="2">
        <v>46223.552777777775</v>
      </c>
      <c r="R42" t="s">
        <v>81</v>
      </c>
      <c r="AM42" s="2"/>
      <c r="AP42" s="8"/>
      <c r="AQ42" s="8"/>
      <c r="AX42" s="7"/>
      <c r="AY42" s="7"/>
    </row>
    <row r="43" spans="1:51" x14ac:dyDescent="0.4">
      <c r="A43">
        <v>11127465</v>
      </c>
      <c r="B43" t="s">
        <v>452</v>
      </c>
      <c r="C43" t="s">
        <v>13</v>
      </c>
      <c r="D43" t="s">
        <v>15</v>
      </c>
      <c r="E43" t="s">
        <v>16</v>
      </c>
      <c r="F43" t="s">
        <v>250</v>
      </c>
      <c r="G43" t="s">
        <v>453</v>
      </c>
      <c r="H43" t="s">
        <v>18</v>
      </c>
      <c r="J43" t="s">
        <v>454</v>
      </c>
      <c r="K43" t="s">
        <v>18</v>
      </c>
      <c r="L43" t="s">
        <v>18</v>
      </c>
      <c r="M43" t="s">
        <v>18</v>
      </c>
      <c r="N43" s="2">
        <v>46188.724999999999</v>
      </c>
      <c r="O43" t="s">
        <v>47</v>
      </c>
      <c r="P43" t="s">
        <v>25</v>
      </c>
      <c r="Q43" s="2">
        <v>46223.550694444442</v>
      </c>
      <c r="R43" t="s">
        <v>83</v>
      </c>
      <c r="AM43" s="2"/>
      <c r="AP43" s="8"/>
      <c r="AQ43" s="8"/>
      <c r="AX43" s="7"/>
      <c r="AY43" s="7"/>
    </row>
    <row r="44" spans="1:51" x14ac:dyDescent="0.4">
      <c r="A44">
        <v>11240576</v>
      </c>
      <c r="B44" t="s">
        <v>195</v>
      </c>
      <c r="C44" t="s">
        <v>13</v>
      </c>
      <c r="D44" t="s">
        <v>15</v>
      </c>
      <c r="E44" t="s">
        <v>21</v>
      </c>
      <c r="F44" t="s">
        <v>224</v>
      </c>
      <c r="G44" t="s">
        <v>265</v>
      </c>
      <c r="H44" t="s">
        <v>18</v>
      </c>
      <c r="J44" t="s">
        <v>196</v>
      </c>
      <c r="K44" t="s">
        <v>18</v>
      </c>
      <c r="L44" t="s">
        <v>18</v>
      </c>
      <c r="M44" t="s">
        <v>18</v>
      </c>
      <c r="N44" s="2">
        <v>46219.081944444442</v>
      </c>
      <c r="O44" t="s">
        <v>17</v>
      </c>
      <c r="P44" t="s">
        <v>14</v>
      </c>
      <c r="Q44" s="2">
        <v>46223.548611111109</v>
      </c>
      <c r="R44" t="s">
        <v>87</v>
      </c>
      <c r="AM44" s="2"/>
      <c r="AP44" s="8"/>
      <c r="AQ44" s="8"/>
      <c r="AX44" s="7"/>
      <c r="AY44" s="7"/>
    </row>
    <row r="45" spans="1:51" x14ac:dyDescent="0.4">
      <c r="A45">
        <v>11256750</v>
      </c>
      <c r="B45" t="s">
        <v>510</v>
      </c>
      <c r="C45" t="s">
        <v>13</v>
      </c>
      <c r="D45" t="s">
        <v>15</v>
      </c>
      <c r="E45" t="s">
        <v>16</v>
      </c>
      <c r="F45" t="s">
        <v>250</v>
      </c>
      <c r="G45" t="s">
        <v>511</v>
      </c>
      <c r="H45" t="s">
        <v>18</v>
      </c>
      <c r="J45" t="s">
        <v>512</v>
      </c>
      <c r="K45" t="s">
        <v>18</v>
      </c>
      <c r="L45" t="s">
        <v>18</v>
      </c>
      <c r="M45" t="s">
        <v>18</v>
      </c>
      <c r="N45" s="2">
        <v>46223.523611111108</v>
      </c>
      <c r="O45" t="s">
        <v>17</v>
      </c>
      <c r="P45" t="s">
        <v>14</v>
      </c>
      <c r="Q45" s="2">
        <v>46223.536111111112</v>
      </c>
      <c r="R45" t="s">
        <v>81</v>
      </c>
      <c r="AM45" s="2"/>
      <c r="AP45" s="8"/>
      <c r="AQ45" s="8"/>
      <c r="AX45" s="7"/>
      <c r="AY45" s="7"/>
    </row>
    <row r="46" spans="1:51" x14ac:dyDescent="0.4">
      <c r="A46">
        <v>11256544</v>
      </c>
      <c r="B46" t="s">
        <v>367</v>
      </c>
      <c r="C46" t="s">
        <v>13</v>
      </c>
      <c r="D46" t="s">
        <v>15</v>
      </c>
      <c r="E46" t="s">
        <v>16</v>
      </c>
      <c r="F46" t="s">
        <v>225</v>
      </c>
      <c r="G46" t="s">
        <v>368</v>
      </c>
      <c r="H46" t="s">
        <v>18</v>
      </c>
      <c r="J46" t="s">
        <v>369</v>
      </c>
      <c r="K46" t="s">
        <v>19</v>
      </c>
      <c r="L46" t="s">
        <v>19</v>
      </c>
      <c r="M46" t="s">
        <v>19</v>
      </c>
      <c r="N46" s="2">
        <v>46223.48333333333</v>
      </c>
      <c r="O46" t="s">
        <v>17</v>
      </c>
      <c r="P46" t="s">
        <v>14</v>
      </c>
      <c r="Q46" s="2">
        <v>46223.535416666666</v>
      </c>
      <c r="R46" t="s">
        <v>81</v>
      </c>
      <c r="AM46" s="2"/>
      <c r="AP46" s="8"/>
      <c r="AQ46" s="8"/>
      <c r="AX46" s="7"/>
      <c r="AY46" s="7"/>
    </row>
    <row r="47" spans="1:51" x14ac:dyDescent="0.4">
      <c r="A47">
        <v>11256575</v>
      </c>
      <c r="B47" t="s">
        <v>360</v>
      </c>
      <c r="C47" t="s">
        <v>13</v>
      </c>
      <c r="D47" t="s">
        <v>15</v>
      </c>
      <c r="E47" t="s">
        <v>16</v>
      </c>
      <c r="F47" t="s">
        <v>225</v>
      </c>
      <c r="G47" t="s">
        <v>361</v>
      </c>
      <c r="H47" t="s">
        <v>18</v>
      </c>
      <c r="J47" t="s">
        <v>360</v>
      </c>
      <c r="K47" t="s">
        <v>18</v>
      </c>
      <c r="L47" t="s">
        <v>18</v>
      </c>
      <c r="M47" t="s">
        <v>18</v>
      </c>
      <c r="N47" s="2">
        <v>46223.490972222222</v>
      </c>
      <c r="O47" t="s">
        <v>27</v>
      </c>
      <c r="P47" t="s">
        <v>14</v>
      </c>
      <c r="Q47" s="2">
        <v>46223.534722222219</v>
      </c>
      <c r="R47" t="s">
        <v>81</v>
      </c>
      <c r="AM47" s="2"/>
      <c r="AP47" s="8"/>
      <c r="AQ47" s="8"/>
      <c r="AX47" s="7"/>
      <c r="AY47" s="7"/>
    </row>
    <row r="48" spans="1:51" x14ac:dyDescent="0.4">
      <c r="A48">
        <v>11242756</v>
      </c>
      <c r="B48" t="s">
        <v>333</v>
      </c>
      <c r="C48" t="s">
        <v>13</v>
      </c>
      <c r="D48" t="s">
        <v>15</v>
      </c>
      <c r="E48" t="s">
        <v>21</v>
      </c>
      <c r="F48" t="s">
        <v>291</v>
      </c>
      <c r="G48" t="s">
        <v>334</v>
      </c>
      <c r="H48" t="s">
        <v>18</v>
      </c>
      <c r="J48" t="s">
        <v>335</v>
      </c>
      <c r="K48" t="s">
        <v>18</v>
      </c>
      <c r="L48" t="s">
        <v>18</v>
      </c>
      <c r="M48" t="s">
        <v>18</v>
      </c>
      <c r="N48" s="2">
        <v>46219.645138888889</v>
      </c>
      <c r="O48" t="s">
        <v>17</v>
      </c>
      <c r="P48" t="s">
        <v>25</v>
      </c>
      <c r="Q48" s="2">
        <v>46223.53402777778</v>
      </c>
      <c r="R48" t="s">
        <v>87</v>
      </c>
      <c r="AM48" s="2"/>
      <c r="AP48" s="8"/>
      <c r="AQ48" s="8"/>
      <c r="AX48" s="7"/>
      <c r="AY48" s="7"/>
    </row>
    <row r="49" spans="1:51" x14ac:dyDescent="0.4">
      <c r="A49">
        <v>11234279</v>
      </c>
      <c r="B49" t="s">
        <v>167</v>
      </c>
      <c r="C49" t="s">
        <v>13</v>
      </c>
      <c r="D49" t="s">
        <v>15</v>
      </c>
      <c r="E49" t="s">
        <v>21</v>
      </c>
      <c r="F49" t="s">
        <v>234</v>
      </c>
      <c r="G49" t="s">
        <v>254</v>
      </c>
      <c r="H49" t="s">
        <v>26</v>
      </c>
      <c r="J49" t="s">
        <v>168</v>
      </c>
      <c r="K49" t="s">
        <v>26</v>
      </c>
      <c r="L49" t="s">
        <v>26</v>
      </c>
      <c r="M49" t="s">
        <v>26</v>
      </c>
      <c r="N49" s="2">
        <v>46217.705555555556</v>
      </c>
      <c r="O49" t="s">
        <v>17</v>
      </c>
      <c r="P49" t="s">
        <v>14</v>
      </c>
      <c r="Q49" s="2">
        <v>46223.531944444447</v>
      </c>
      <c r="R49" t="s">
        <v>86</v>
      </c>
      <c r="AM49" s="2"/>
      <c r="AP49" s="8"/>
      <c r="AQ49" s="8"/>
      <c r="AX49" s="7"/>
      <c r="AY49" s="7"/>
    </row>
    <row r="50" spans="1:51" x14ac:dyDescent="0.4">
      <c r="A50">
        <v>11218395</v>
      </c>
      <c r="B50" t="s">
        <v>118</v>
      </c>
      <c r="C50" t="s">
        <v>13</v>
      </c>
      <c r="D50" t="s">
        <v>20</v>
      </c>
      <c r="E50" t="s">
        <v>21</v>
      </c>
      <c r="F50" t="s">
        <v>224</v>
      </c>
      <c r="G50" t="s">
        <v>309</v>
      </c>
      <c r="H50" t="s">
        <v>18</v>
      </c>
      <c r="J50" t="s">
        <v>119</v>
      </c>
      <c r="K50" t="s">
        <v>18</v>
      </c>
      <c r="L50" t="s">
        <v>19</v>
      </c>
      <c r="M50" t="s">
        <v>18</v>
      </c>
      <c r="N50" s="2">
        <v>46212.65625</v>
      </c>
      <c r="O50" t="s">
        <v>17</v>
      </c>
      <c r="P50" t="s">
        <v>14</v>
      </c>
      <c r="Q50" s="2">
        <v>46223.53125</v>
      </c>
      <c r="R50" t="s">
        <v>88</v>
      </c>
      <c r="AM50" s="2"/>
      <c r="AP50" s="8"/>
      <c r="AQ50" s="8"/>
      <c r="AX50" s="7"/>
      <c r="AY50" s="7"/>
    </row>
    <row r="51" spans="1:51" x14ac:dyDescent="0.4">
      <c r="A51">
        <v>11211896</v>
      </c>
      <c r="B51" t="s">
        <v>461</v>
      </c>
      <c r="C51" t="s">
        <v>13</v>
      </c>
      <c r="D51" t="s">
        <v>15</v>
      </c>
      <c r="E51" t="s">
        <v>23</v>
      </c>
      <c r="F51" t="s">
        <v>252</v>
      </c>
      <c r="G51" t="s">
        <v>462</v>
      </c>
      <c r="H51" t="s">
        <v>18</v>
      </c>
      <c r="J51" t="s">
        <v>463</v>
      </c>
      <c r="K51" t="s">
        <v>18</v>
      </c>
      <c r="L51" t="s">
        <v>18</v>
      </c>
      <c r="M51" t="s">
        <v>18</v>
      </c>
      <c r="N51" s="2">
        <v>46211.199999999997</v>
      </c>
      <c r="O51" t="s">
        <v>17</v>
      </c>
      <c r="P51" t="s">
        <v>14</v>
      </c>
      <c r="Q51" s="2">
        <v>46223.529166666667</v>
      </c>
      <c r="R51" t="s">
        <v>88</v>
      </c>
      <c r="AM51" s="2"/>
      <c r="AP51" s="8"/>
      <c r="AQ51" s="8"/>
      <c r="AX51" s="7"/>
      <c r="AY51" s="7"/>
    </row>
    <row r="52" spans="1:51" x14ac:dyDescent="0.4">
      <c r="A52">
        <v>11244738</v>
      </c>
      <c r="B52" t="s">
        <v>449</v>
      </c>
      <c r="C52" t="s">
        <v>13</v>
      </c>
      <c r="D52" t="s">
        <v>20</v>
      </c>
      <c r="E52" t="s">
        <v>21</v>
      </c>
      <c r="F52" t="s">
        <v>291</v>
      </c>
      <c r="G52" t="s">
        <v>450</v>
      </c>
      <c r="H52" t="s">
        <v>18</v>
      </c>
      <c r="J52" t="s">
        <v>451</v>
      </c>
      <c r="K52" t="s">
        <v>19</v>
      </c>
      <c r="L52" t="s">
        <v>19</v>
      </c>
      <c r="M52" t="s">
        <v>19</v>
      </c>
      <c r="N52" s="2">
        <v>46219.913194444445</v>
      </c>
      <c r="O52" t="s">
        <v>17</v>
      </c>
      <c r="P52" t="s">
        <v>14</v>
      </c>
      <c r="Q52" s="2">
        <v>46223.525694444441</v>
      </c>
      <c r="R52" t="s">
        <v>87</v>
      </c>
      <c r="AM52" s="2"/>
      <c r="AP52" s="8"/>
      <c r="AQ52" s="8"/>
      <c r="AX52" s="7"/>
      <c r="AY52" s="7"/>
    </row>
    <row r="53" spans="1:51" x14ac:dyDescent="0.4">
      <c r="A53">
        <v>11236587</v>
      </c>
      <c r="B53" t="s">
        <v>340</v>
      </c>
      <c r="C53" t="s">
        <v>13</v>
      </c>
      <c r="D53" t="s">
        <v>20</v>
      </c>
      <c r="E53" t="s">
        <v>140</v>
      </c>
      <c r="F53" t="s">
        <v>238</v>
      </c>
      <c r="G53" t="s">
        <v>341</v>
      </c>
      <c r="H53" t="s">
        <v>18</v>
      </c>
      <c r="J53" t="s">
        <v>342</v>
      </c>
      <c r="K53" t="s">
        <v>18</v>
      </c>
      <c r="L53" t="s">
        <v>18</v>
      </c>
      <c r="M53" t="s">
        <v>18</v>
      </c>
      <c r="N53" s="2">
        <v>46218.287499999999</v>
      </c>
      <c r="O53" t="s">
        <v>17</v>
      </c>
      <c r="P53" t="s">
        <v>25</v>
      </c>
      <c r="Q53" s="2">
        <v>46223.525000000001</v>
      </c>
      <c r="R53" t="s">
        <v>86</v>
      </c>
      <c r="AM53" s="2"/>
      <c r="AP53" s="8"/>
      <c r="AQ53" s="8"/>
      <c r="AX53" s="7"/>
      <c r="AY53" s="7"/>
    </row>
    <row r="54" spans="1:51" x14ac:dyDescent="0.4">
      <c r="A54">
        <v>11248567</v>
      </c>
      <c r="B54" t="s">
        <v>415</v>
      </c>
      <c r="C54" t="s">
        <v>13</v>
      </c>
      <c r="D54" t="s">
        <v>15</v>
      </c>
      <c r="E54" t="s">
        <v>16</v>
      </c>
      <c r="F54" t="s">
        <v>250</v>
      </c>
      <c r="G54" t="s">
        <v>416</v>
      </c>
      <c r="H54" t="s">
        <v>18</v>
      </c>
      <c r="J54" t="s">
        <v>417</v>
      </c>
      <c r="K54" t="s">
        <v>18</v>
      </c>
      <c r="L54" t="s">
        <v>18</v>
      </c>
      <c r="M54" t="s">
        <v>18</v>
      </c>
      <c r="N54" s="2">
        <v>46220.788888888892</v>
      </c>
      <c r="O54" t="s">
        <v>27</v>
      </c>
      <c r="P54" t="s">
        <v>25</v>
      </c>
      <c r="Q54" s="2">
        <v>46223.523611111108</v>
      </c>
      <c r="R54" t="s">
        <v>85</v>
      </c>
      <c r="Z54" s="2"/>
      <c r="AM54" s="2"/>
      <c r="AP54" s="8"/>
      <c r="AQ54" s="8"/>
      <c r="AX54" s="7"/>
      <c r="AY54" s="7"/>
    </row>
    <row r="55" spans="1:51" x14ac:dyDescent="0.4">
      <c r="A55">
        <v>11215353</v>
      </c>
      <c r="B55" t="s">
        <v>513</v>
      </c>
      <c r="C55" t="s">
        <v>13</v>
      </c>
      <c r="D55" t="s">
        <v>15</v>
      </c>
      <c r="E55" t="s">
        <v>21</v>
      </c>
      <c r="F55" t="s">
        <v>224</v>
      </c>
      <c r="G55" t="s">
        <v>514</v>
      </c>
      <c r="H55" t="s">
        <v>18</v>
      </c>
      <c r="J55" t="s">
        <v>515</v>
      </c>
      <c r="K55" t="s">
        <v>18</v>
      </c>
      <c r="L55" t="s">
        <v>18</v>
      </c>
      <c r="M55" t="s">
        <v>18</v>
      </c>
      <c r="N55" s="2">
        <v>46211.883333333331</v>
      </c>
      <c r="O55" t="s">
        <v>27</v>
      </c>
      <c r="P55" t="s">
        <v>14</v>
      </c>
      <c r="Q55" s="2">
        <v>46223.519444444442</v>
      </c>
      <c r="R55" t="s">
        <v>88</v>
      </c>
      <c r="Z55" s="2"/>
      <c r="AM55" s="2"/>
      <c r="AP55" s="8"/>
      <c r="AQ55" s="8"/>
      <c r="AX55" s="7"/>
      <c r="AY55" s="7"/>
    </row>
    <row r="56" spans="1:51" x14ac:dyDescent="0.4">
      <c r="A56">
        <v>11206148</v>
      </c>
      <c r="B56" t="s">
        <v>516</v>
      </c>
      <c r="C56" t="s">
        <v>13</v>
      </c>
      <c r="D56" t="s">
        <v>15</v>
      </c>
      <c r="E56" t="s">
        <v>21</v>
      </c>
      <c r="F56" t="s">
        <v>232</v>
      </c>
      <c r="G56" t="s">
        <v>299</v>
      </c>
      <c r="H56" t="s">
        <v>18</v>
      </c>
      <c r="J56" t="s">
        <v>517</v>
      </c>
      <c r="K56" t="s">
        <v>18</v>
      </c>
      <c r="L56" t="s">
        <v>18</v>
      </c>
      <c r="M56" t="s">
        <v>18</v>
      </c>
      <c r="N56" s="2">
        <v>46209.919444444444</v>
      </c>
      <c r="O56" t="s">
        <v>17</v>
      </c>
      <c r="P56" t="s">
        <v>25</v>
      </c>
      <c r="Q56" s="2">
        <v>46223.517361111109</v>
      </c>
      <c r="R56" t="s">
        <v>88</v>
      </c>
      <c r="Z56" s="2"/>
      <c r="AM56" s="2"/>
      <c r="AP56" s="8"/>
      <c r="AQ56" s="8"/>
      <c r="AX56" s="7"/>
      <c r="AY56" s="7"/>
    </row>
    <row r="57" spans="1:51" x14ac:dyDescent="0.4">
      <c r="A57">
        <v>11239725</v>
      </c>
      <c r="B57" t="s">
        <v>187</v>
      </c>
      <c r="C57" t="s">
        <v>13</v>
      </c>
      <c r="D57" t="s">
        <v>20</v>
      </c>
      <c r="E57" t="s">
        <v>23</v>
      </c>
      <c r="F57" t="s">
        <v>238</v>
      </c>
      <c r="G57" t="s">
        <v>257</v>
      </c>
      <c r="H57" t="s">
        <v>18</v>
      </c>
      <c r="J57" t="s">
        <v>188</v>
      </c>
      <c r="K57" t="s">
        <v>18</v>
      </c>
      <c r="L57" t="s">
        <v>18</v>
      </c>
      <c r="M57" t="s">
        <v>18</v>
      </c>
      <c r="N57" s="2">
        <v>46218.849305555559</v>
      </c>
      <c r="O57" t="s">
        <v>27</v>
      </c>
      <c r="P57" t="s">
        <v>14</v>
      </c>
      <c r="Q57" s="2">
        <v>46223.512499999997</v>
      </c>
      <c r="R57" t="s">
        <v>87</v>
      </c>
      <c r="Z57" s="2"/>
      <c r="AM57" s="2"/>
      <c r="AP57" s="8"/>
      <c r="AQ57" s="8"/>
      <c r="AX57" s="7"/>
      <c r="AY57" s="7"/>
    </row>
    <row r="58" spans="1:51" x14ac:dyDescent="0.4">
      <c r="A58">
        <v>11256030</v>
      </c>
      <c r="B58" t="s">
        <v>518</v>
      </c>
      <c r="C58" t="s">
        <v>13</v>
      </c>
      <c r="D58" t="s">
        <v>15</v>
      </c>
      <c r="E58" t="s">
        <v>140</v>
      </c>
      <c r="F58" t="s">
        <v>255</v>
      </c>
      <c r="G58" t="s">
        <v>472</v>
      </c>
      <c r="H58" t="s">
        <v>18</v>
      </c>
      <c r="J58" t="s">
        <v>518</v>
      </c>
      <c r="K58" t="s">
        <v>18</v>
      </c>
      <c r="L58" t="s">
        <v>18</v>
      </c>
      <c r="M58" t="s">
        <v>18</v>
      </c>
      <c r="N58" s="2">
        <v>46223.320833333331</v>
      </c>
      <c r="O58" t="s">
        <v>27</v>
      </c>
      <c r="P58" t="s">
        <v>14</v>
      </c>
      <c r="Q58" s="2">
        <v>46223.506944444445</v>
      </c>
      <c r="R58" t="s">
        <v>81</v>
      </c>
      <c r="Z58" s="2"/>
      <c r="AM58" s="2"/>
      <c r="AP58" s="8"/>
      <c r="AQ58" s="8"/>
      <c r="AX58" s="7"/>
      <c r="AY58" s="7"/>
    </row>
    <row r="59" spans="1:51" x14ac:dyDescent="0.4">
      <c r="A59">
        <v>11248355</v>
      </c>
      <c r="B59" t="s">
        <v>362</v>
      </c>
      <c r="C59" t="s">
        <v>13</v>
      </c>
      <c r="D59" t="s">
        <v>15</v>
      </c>
      <c r="E59" t="s">
        <v>28</v>
      </c>
      <c r="F59" t="s">
        <v>363</v>
      </c>
      <c r="G59" t="s">
        <v>364</v>
      </c>
      <c r="H59" t="s">
        <v>18</v>
      </c>
      <c r="J59" t="s">
        <v>365</v>
      </c>
      <c r="K59" t="s">
        <v>18</v>
      </c>
      <c r="L59" t="s">
        <v>19</v>
      </c>
      <c r="M59" t="s">
        <v>18</v>
      </c>
      <c r="N59" s="2">
        <v>46220.737500000003</v>
      </c>
      <c r="O59" t="s">
        <v>17</v>
      </c>
      <c r="P59" t="s">
        <v>14</v>
      </c>
      <c r="Q59" s="2">
        <v>46223.490972222222</v>
      </c>
      <c r="R59" t="s">
        <v>85</v>
      </c>
      <c r="AM59" s="2"/>
      <c r="AP59" s="8"/>
      <c r="AQ59" s="8"/>
      <c r="AX59" s="7"/>
      <c r="AY59" s="7"/>
    </row>
    <row r="60" spans="1:51" x14ac:dyDescent="0.4">
      <c r="A60">
        <v>11256528</v>
      </c>
      <c r="B60" t="s">
        <v>366</v>
      </c>
      <c r="C60" t="s">
        <v>13</v>
      </c>
      <c r="D60" t="s">
        <v>15</v>
      </c>
      <c r="E60" t="s">
        <v>23</v>
      </c>
      <c r="F60" t="s">
        <v>238</v>
      </c>
      <c r="G60" t="s">
        <v>361</v>
      </c>
      <c r="H60" t="s">
        <v>18</v>
      </c>
      <c r="K60" t="s">
        <v>18</v>
      </c>
      <c r="L60" t="s">
        <v>18</v>
      </c>
      <c r="M60" t="s">
        <v>18</v>
      </c>
      <c r="N60" s="2">
        <v>46223.481944444444</v>
      </c>
      <c r="O60" t="s">
        <v>27</v>
      </c>
      <c r="P60" t="s">
        <v>14</v>
      </c>
      <c r="Q60" s="2">
        <v>46223.487500000003</v>
      </c>
      <c r="R60" t="s">
        <v>81</v>
      </c>
      <c r="Z60" s="2"/>
      <c r="AM60" s="2"/>
      <c r="AP60" s="8"/>
      <c r="AQ60" s="8"/>
      <c r="AX60" s="7"/>
      <c r="AY60" s="7"/>
    </row>
    <row r="61" spans="1:51" x14ac:dyDescent="0.4">
      <c r="A61">
        <v>11243512</v>
      </c>
      <c r="B61" t="s">
        <v>350</v>
      </c>
      <c r="C61" t="s">
        <v>13</v>
      </c>
      <c r="D61" t="s">
        <v>15</v>
      </c>
      <c r="E61" t="s">
        <v>28</v>
      </c>
      <c r="F61" t="s">
        <v>251</v>
      </c>
      <c r="G61" t="s">
        <v>351</v>
      </c>
      <c r="H61" t="s">
        <v>18</v>
      </c>
      <c r="J61" t="s">
        <v>352</v>
      </c>
      <c r="K61" t="s">
        <v>18</v>
      </c>
      <c r="L61" t="s">
        <v>18</v>
      </c>
      <c r="M61" t="s">
        <v>18</v>
      </c>
      <c r="N61" s="2">
        <v>46219.698611111111</v>
      </c>
      <c r="O61" t="s">
        <v>17</v>
      </c>
      <c r="P61" t="s">
        <v>25</v>
      </c>
      <c r="Q61" s="2">
        <v>46223.470138888886</v>
      </c>
      <c r="R61" t="s">
        <v>87</v>
      </c>
      <c r="AM61" s="2"/>
      <c r="AP61" s="8"/>
      <c r="AQ61" s="8"/>
      <c r="AX61" s="7"/>
      <c r="AY61" s="7"/>
    </row>
    <row r="62" spans="1:51" x14ac:dyDescent="0.4">
      <c r="A62">
        <v>11237158</v>
      </c>
      <c r="B62" t="s">
        <v>153</v>
      </c>
      <c r="C62" t="s">
        <v>13</v>
      </c>
      <c r="D62" t="s">
        <v>15</v>
      </c>
      <c r="E62" t="s">
        <v>23</v>
      </c>
      <c r="F62" t="s">
        <v>236</v>
      </c>
      <c r="G62" t="s">
        <v>300</v>
      </c>
      <c r="H62" t="s">
        <v>18</v>
      </c>
      <c r="J62" t="s">
        <v>154</v>
      </c>
      <c r="K62" t="s">
        <v>18</v>
      </c>
      <c r="L62" t="s">
        <v>18</v>
      </c>
      <c r="M62" t="s">
        <v>18</v>
      </c>
      <c r="N62" s="2">
        <v>46218.459722222222</v>
      </c>
      <c r="O62" t="s">
        <v>17</v>
      </c>
      <c r="P62" t="s">
        <v>25</v>
      </c>
      <c r="Q62" s="2">
        <v>46223.466666666667</v>
      </c>
      <c r="R62" t="s">
        <v>86</v>
      </c>
      <c r="Z62" s="2"/>
      <c r="AM62" s="2"/>
      <c r="AP62" s="8"/>
      <c r="AQ62" s="8"/>
      <c r="AX62" s="7"/>
      <c r="AY62" s="7"/>
    </row>
    <row r="63" spans="1:51" x14ac:dyDescent="0.4">
      <c r="A63">
        <v>11218275</v>
      </c>
      <c r="B63" t="s">
        <v>120</v>
      </c>
      <c r="C63" t="s">
        <v>13</v>
      </c>
      <c r="D63" t="s">
        <v>20</v>
      </c>
      <c r="E63" t="s">
        <v>16</v>
      </c>
      <c r="F63" t="s">
        <v>311</v>
      </c>
      <c r="G63" t="s">
        <v>319</v>
      </c>
      <c r="H63" t="s">
        <v>18</v>
      </c>
      <c r="J63" t="s">
        <v>121</v>
      </c>
      <c r="K63" t="s">
        <v>18</v>
      </c>
      <c r="L63" t="s">
        <v>18</v>
      </c>
      <c r="M63" t="s">
        <v>18</v>
      </c>
      <c r="N63" s="2">
        <v>46212.638888888891</v>
      </c>
      <c r="O63" t="s">
        <v>17</v>
      </c>
      <c r="P63" t="s">
        <v>25</v>
      </c>
      <c r="Q63" s="2">
        <v>46223.454861111109</v>
      </c>
      <c r="R63" t="s">
        <v>88</v>
      </c>
      <c r="Z63" s="2"/>
      <c r="AM63" s="2"/>
      <c r="AP63" s="8"/>
      <c r="AQ63" s="8"/>
      <c r="AX63" s="7"/>
      <c r="AY63" s="7"/>
    </row>
    <row r="64" spans="1:51" x14ac:dyDescent="0.4">
      <c r="A64">
        <v>11239831</v>
      </c>
      <c r="B64" t="s">
        <v>178</v>
      </c>
      <c r="C64" t="s">
        <v>13</v>
      </c>
      <c r="D64" t="s">
        <v>20</v>
      </c>
      <c r="E64" t="s">
        <v>23</v>
      </c>
      <c r="F64" t="s">
        <v>252</v>
      </c>
      <c r="G64" t="s">
        <v>253</v>
      </c>
      <c r="H64" t="s">
        <v>18</v>
      </c>
      <c r="J64" t="s">
        <v>179</v>
      </c>
      <c r="K64" t="s">
        <v>18</v>
      </c>
      <c r="L64" t="s">
        <v>18</v>
      </c>
      <c r="M64" t="s">
        <v>18</v>
      </c>
      <c r="N64" s="2">
        <v>46218.870138888888</v>
      </c>
      <c r="O64" t="s">
        <v>17</v>
      </c>
      <c r="P64" t="s">
        <v>25</v>
      </c>
      <c r="Q64" s="2">
        <v>46223.428472222222</v>
      </c>
      <c r="R64" t="s">
        <v>87</v>
      </c>
      <c r="Z64" s="2"/>
      <c r="AM64" s="2"/>
      <c r="AP64" s="8"/>
      <c r="AQ64" s="8"/>
      <c r="AX64" s="7"/>
      <c r="AY64" s="7"/>
    </row>
    <row r="65" spans="1:51" x14ac:dyDescent="0.4">
      <c r="A65">
        <v>11230831</v>
      </c>
      <c r="B65" t="s">
        <v>143</v>
      </c>
      <c r="C65" t="s">
        <v>13</v>
      </c>
      <c r="D65" t="s">
        <v>20</v>
      </c>
      <c r="E65" t="s">
        <v>23</v>
      </c>
      <c r="F65" t="s">
        <v>222</v>
      </c>
      <c r="G65" t="s">
        <v>258</v>
      </c>
      <c r="H65" t="s">
        <v>18</v>
      </c>
      <c r="J65" t="s">
        <v>144</v>
      </c>
      <c r="K65" t="s">
        <v>18</v>
      </c>
      <c r="L65" t="s">
        <v>18</v>
      </c>
      <c r="M65" t="s">
        <v>18</v>
      </c>
      <c r="N65" s="2">
        <v>46216.838194444441</v>
      </c>
      <c r="O65" t="s">
        <v>17</v>
      </c>
      <c r="P65" t="s">
        <v>25</v>
      </c>
      <c r="Q65" s="2">
        <v>46223.421527777777</v>
      </c>
      <c r="R65" t="s">
        <v>86</v>
      </c>
      <c r="Z65" s="2"/>
      <c r="AM65" s="2"/>
      <c r="AP65" s="8"/>
      <c r="AQ65" s="8"/>
      <c r="AX65" s="7"/>
      <c r="AY65" s="7"/>
    </row>
    <row r="66" spans="1:51" x14ac:dyDescent="0.4">
      <c r="A66">
        <v>11205435</v>
      </c>
      <c r="B66" t="s">
        <v>98</v>
      </c>
      <c r="C66" t="s">
        <v>13</v>
      </c>
      <c r="D66" t="s">
        <v>15</v>
      </c>
      <c r="E66" t="s">
        <v>16</v>
      </c>
      <c r="F66" t="s">
        <v>311</v>
      </c>
      <c r="G66" t="s">
        <v>290</v>
      </c>
      <c r="H66" t="s">
        <v>18</v>
      </c>
      <c r="J66" t="s">
        <v>99</v>
      </c>
      <c r="K66" t="s">
        <v>18</v>
      </c>
      <c r="L66" t="s">
        <v>18</v>
      </c>
      <c r="M66" t="s">
        <v>18</v>
      </c>
      <c r="N66" s="2">
        <v>46209.773611111108</v>
      </c>
      <c r="O66" t="s">
        <v>17</v>
      </c>
      <c r="P66" t="s">
        <v>25</v>
      </c>
      <c r="Q66" s="2">
        <v>46223.42083333333</v>
      </c>
      <c r="R66" t="s">
        <v>88</v>
      </c>
      <c r="Z66" s="2"/>
      <c r="AM66" s="2"/>
      <c r="AP66" s="8"/>
      <c r="AQ66" s="8"/>
      <c r="AX66" s="7"/>
      <c r="AY66" s="7"/>
    </row>
    <row r="67" spans="1:51" x14ac:dyDescent="0.4">
      <c r="A67">
        <v>11256210</v>
      </c>
      <c r="B67" t="s">
        <v>380</v>
      </c>
      <c r="C67" t="s">
        <v>13</v>
      </c>
      <c r="D67" t="s">
        <v>15</v>
      </c>
      <c r="E67" t="s">
        <v>23</v>
      </c>
      <c r="F67" t="s">
        <v>255</v>
      </c>
      <c r="G67" t="s">
        <v>239</v>
      </c>
      <c r="H67" t="s">
        <v>18</v>
      </c>
      <c r="J67" t="s">
        <v>381</v>
      </c>
      <c r="K67" t="s">
        <v>18</v>
      </c>
      <c r="L67" t="s">
        <v>18</v>
      </c>
      <c r="M67" t="s">
        <v>18</v>
      </c>
      <c r="N67" s="2">
        <v>46223.398611111108</v>
      </c>
      <c r="O67" t="s">
        <v>22</v>
      </c>
      <c r="P67" t="s">
        <v>14</v>
      </c>
      <c r="Q67" s="2">
        <v>46223.40347222222</v>
      </c>
      <c r="R67" t="s">
        <v>81</v>
      </c>
      <c r="AM67" s="2"/>
      <c r="AP67" s="8"/>
      <c r="AQ67" s="8"/>
      <c r="AX67" s="7"/>
      <c r="AY67" s="7"/>
    </row>
    <row r="68" spans="1:51" x14ac:dyDescent="0.4">
      <c r="A68">
        <v>11241564</v>
      </c>
      <c r="B68" t="s">
        <v>180</v>
      </c>
      <c r="C68" t="s">
        <v>13</v>
      </c>
      <c r="D68" t="s">
        <v>15</v>
      </c>
      <c r="E68" t="s">
        <v>23</v>
      </c>
      <c r="F68" t="s">
        <v>255</v>
      </c>
      <c r="G68" t="s">
        <v>256</v>
      </c>
      <c r="H68" t="s">
        <v>18</v>
      </c>
      <c r="J68" t="s">
        <v>181</v>
      </c>
      <c r="K68" t="s">
        <v>18</v>
      </c>
      <c r="L68" t="s">
        <v>18</v>
      </c>
      <c r="M68" t="s">
        <v>18</v>
      </c>
      <c r="N68" s="2">
        <v>46219.431250000001</v>
      </c>
      <c r="O68" t="s">
        <v>17</v>
      </c>
      <c r="P68" t="s">
        <v>25</v>
      </c>
      <c r="Q68" s="2">
        <v>46223.402777777781</v>
      </c>
      <c r="R68" t="s">
        <v>87</v>
      </c>
      <c r="Z68" s="2"/>
      <c r="AM68" s="2"/>
      <c r="AP68" s="8"/>
      <c r="AQ68" s="8"/>
      <c r="AX68" s="7"/>
      <c r="AY68" s="7"/>
    </row>
    <row r="69" spans="1:51" x14ac:dyDescent="0.4">
      <c r="A69">
        <v>11246838</v>
      </c>
      <c r="B69" t="s">
        <v>382</v>
      </c>
      <c r="C69" t="s">
        <v>13</v>
      </c>
      <c r="D69" t="s">
        <v>15</v>
      </c>
      <c r="E69" t="s">
        <v>28</v>
      </c>
      <c r="F69" t="s">
        <v>255</v>
      </c>
      <c r="G69" t="s">
        <v>239</v>
      </c>
      <c r="H69" t="s">
        <v>18</v>
      </c>
      <c r="J69" t="s">
        <v>383</v>
      </c>
      <c r="K69" t="s">
        <v>18</v>
      </c>
      <c r="L69" t="s">
        <v>18</v>
      </c>
      <c r="M69" t="s">
        <v>18</v>
      </c>
      <c r="N69" s="2">
        <v>46220.517361111109</v>
      </c>
      <c r="O69" t="s">
        <v>22</v>
      </c>
      <c r="P69" t="s">
        <v>14</v>
      </c>
      <c r="Q69" s="2">
        <v>46223.400694444441</v>
      </c>
      <c r="R69" t="s">
        <v>87</v>
      </c>
      <c r="Z69" s="2"/>
      <c r="AM69" s="2"/>
      <c r="AP69" s="8"/>
      <c r="AQ69" s="8"/>
      <c r="AX69" s="7"/>
      <c r="AY69" s="7"/>
    </row>
    <row r="70" spans="1:51" x14ac:dyDescent="0.4">
      <c r="A70">
        <v>11221063</v>
      </c>
      <c r="B70" t="s">
        <v>185</v>
      </c>
      <c r="C70" t="s">
        <v>13</v>
      </c>
      <c r="D70" t="s">
        <v>15</v>
      </c>
      <c r="E70" t="s">
        <v>45</v>
      </c>
      <c r="F70" t="s">
        <v>234</v>
      </c>
      <c r="G70" t="s">
        <v>235</v>
      </c>
      <c r="H70" t="s">
        <v>18</v>
      </c>
      <c r="J70" t="s">
        <v>186</v>
      </c>
      <c r="K70" t="s">
        <v>18</v>
      </c>
      <c r="L70" t="s">
        <v>19</v>
      </c>
      <c r="M70" t="s">
        <v>18</v>
      </c>
      <c r="N70" s="2">
        <v>46213.37222222222</v>
      </c>
      <c r="O70" t="s">
        <v>17</v>
      </c>
      <c r="P70" t="s">
        <v>14</v>
      </c>
      <c r="Q70" s="2">
        <v>46223.386805555558</v>
      </c>
      <c r="R70" t="s">
        <v>88</v>
      </c>
      <c r="Z70" s="2"/>
      <c r="AM70" s="2"/>
      <c r="AP70" s="8"/>
      <c r="AQ70" s="8"/>
      <c r="AX70" s="7"/>
      <c r="AY70" s="7"/>
    </row>
    <row r="71" spans="1:51" x14ac:dyDescent="0.4">
      <c r="A71">
        <v>11250628</v>
      </c>
      <c r="B71" t="s">
        <v>384</v>
      </c>
      <c r="C71" t="s">
        <v>13</v>
      </c>
      <c r="D71" t="s">
        <v>15</v>
      </c>
      <c r="E71" t="s">
        <v>28</v>
      </c>
      <c r="F71" t="s">
        <v>238</v>
      </c>
      <c r="G71" t="s">
        <v>239</v>
      </c>
      <c r="H71" t="s">
        <v>18</v>
      </c>
      <c r="J71" t="s">
        <v>385</v>
      </c>
      <c r="K71" t="s">
        <v>18</v>
      </c>
      <c r="L71" t="s">
        <v>18</v>
      </c>
      <c r="M71" t="s">
        <v>18</v>
      </c>
      <c r="N71" s="2">
        <v>46221.438888888886</v>
      </c>
      <c r="O71" t="s">
        <v>22</v>
      </c>
      <c r="P71" t="s">
        <v>14</v>
      </c>
      <c r="Q71" s="2">
        <v>46223.24722222222</v>
      </c>
      <c r="R71" t="s">
        <v>85</v>
      </c>
      <c r="Z71" s="2"/>
      <c r="AM71" s="2"/>
      <c r="AP71" s="8"/>
      <c r="AQ71" s="8"/>
      <c r="AX71" s="7"/>
      <c r="AY71" s="7"/>
    </row>
    <row r="72" spans="1:51" x14ac:dyDescent="0.4">
      <c r="A72">
        <v>11249793</v>
      </c>
      <c r="B72" t="s">
        <v>388</v>
      </c>
      <c r="C72" t="s">
        <v>13</v>
      </c>
      <c r="D72" t="s">
        <v>15</v>
      </c>
      <c r="E72" t="s">
        <v>51</v>
      </c>
      <c r="F72" t="s">
        <v>270</v>
      </c>
      <c r="G72" t="s">
        <v>249</v>
      </c>
      <c r="H72" t="s">
        <v>18</v>
      </c>
      <c r="J72" t="s">
        <v>389</v>
      </c>
      <c r="K72" t="s">
        <v>18</v>
      </c>
      <c r="L72" t="s">
        <v>19</v>
      </c>
      <c r="M72" t="s">
        <v>18</v>
      </c>
      <c r="N72" s="2">
        <v>46221.181944444441</v>
      </c>
      <c r="O72" t="s">
        <v>17</v>
      </c>
      <c r="P72" t="s">
        <v>14</v>
      </c>
      <c r="Q72" s="2">
        <v>46222.942361111112</v>
      </c>
      <c r="R72" t="s">
        <v>85</v>
      </c>
      <c r="AM72" s="2"/>
      <c r="AP72" s="8"/>
      <c r="AQ72" s="8"/>
      <c r="AX72" s="7"/>
      <c r="AY72" s="7"/>
    </row>
    <row r="73" spans="1:51" x14ac:dyDescent="0.4">
      <c r="A73">
        <v>11164897</v>
      </c>
      <c r="B73" t="s">
        <v>390</v>
      </c>
      <c r="C73" t="s">
        <v>13</v>
      </c>
      <c r="D73" t="s">
        <v>15</v>
      </c>
      <c r="E73" t="s">
        <v>21</v>
      </c>
      <c r="F73" t="s">
        <v>227</v>
      </c>
      <c r="G73" t="s">
        <v>391</v>
      </c>
      <c r="H73" t="s">
        <v>18</v>
      </c>
      <c r="J73" t="s">
        <v>392</v>
      </c>
      <c r="K73" t="s">
        <v>18</v>
      </c>
      <c r="L73" t="s">
        <v>18</v>
      </c>
      <c r="M73" t="s">
        <v>18</v>
      </c>
      <c r="N73" s="2">
        <v>46198.493750000001</v>
      </c>
      <c r="O73" t="s">
        <v>27</v>
      </c>
      <c r="P73" t="s">
        <v>14</v>
      </c>
      <c r="Q73" s="2">
        <v>46222.938888888886</v>
      </c>
      <c r="R73" t="s">
        <v>82</v>
      </c>
      <c r="AM73" s="2"/>
      <c r="AP73" s="8"/>
      <c r="AQ73" s="8"/>
      <c r="AX73" s="7"/>
      <c r="AY73" s="7"/>
    </row>
    <row r="74" spans="1:51" x14ac:dyDescent="0.4">
      <c r="A74">
        <v>11234891</v>
      </c>
      <c r="B74" t="s">
        <v>165</v>
      </c>
      <c r="C74" t="s">
        <v>13</v>
      </c>
      <c r="D74" t="s">
        <v>15</v>
      </c>
      <c r="E74" t="s">
        <v>21</v>
      </c>
      <c r="F74" t="s">
        <v>270</v>
      </c>
      <c r="G74" t="s">
        <v>273</v>
      </c>
      <c r="H74" t="s">
        <v>18</v>
      </c>
      <c r="J74" t="s">
        <v>166</v>
      </c>
      <c r="K74" t="s">
        <v>18</v>
      </c>
      <c r="L74" t="s">
        <v>18</v>
      </c>
      <c r="M74" t="s">
        <v>18</v>
      </c>
      <c r="N74" s="2">
        <v>46217.816666666666</v>
      </c>
      <c r="O74" t="s">
        <v>17</v>
      </c>
      <c r="P74" t="s">
        <v>14</v>
      </c>
      <c r="Q74" s="2">
        <v>46221.629166666666</v>
      </c>
      <c r="R74" t="s">
        <v>86</v>
      </c>
      <c r="AM74" s="2"/>
      <c r="AP74" s="8"/>
      <c r="AQ74" s="8"/>
      <c r="AX74" s="7"/>
      <c r="AY74" s="7"/>
    </row>
    <row r="75" spans="1:51" x14ac:dyDescent="0.4">
      <c r="A75">
        <v>11240580</v>
      </c>
      <c r="B75" t="s">
        <v>399</v>
      </c>
      <c r="C75" t="s">
        <v>13</v>
      </c>
      <c r="D75" t="s">
        <v>15</v>
      </c>
      <c r="E75" t="s">
        <v>21</v>
      </c>
      <c r="F75" t="s">
        <v>246</v>
      </c>
      <c r="G75" t="s">
        <v>400</v>
      </c>
      <c r="H75" t="s">
        <v>18</v>
      </c>
      <c r="J75" t="s">
        <v>401</v>
      </c>
      <c r="K75" t="s">
        <v>18</v>
      </c>
      <c r="L75" t="s">
        <v>18</v>
      </c>
      <c r="M75" t="s">
        <v>18</v>
      </c>
      <c r="N75" s="2">
        <v>46219.083333333336</v>
      </c>
      <c r="O75" t="s">
        <v>17</v>
      </c>
      <c r="P75" t="s">
        <v>25</v>
      </c>
      <c r="Q75" s="2">
        <v>46221.626388888886</v>
      </c>
      <c r="R75" t="s">
        <v>87</v>
      </c>
      <c r="AM75" s="2"/>
      <c r="AP75" s="8"/>
      <c r="AQ75" s="8"/>
      <c r="AX75" s="7"/>
      <c r="AY75" s="7"/>
    </row>
    <row r="76" spans="1:51" x14ac:dyDescent="0.4">
      <c r="A76">
        <v>11186291</v>
      </c>
      <c r="B76" t="s">
        <v>69</v>
      </c>
      <c r="C76" t="s">
        <v>13</v>
      </c>
      <c r="D76" t="s">
        <v>15</v>
      </c>
      <c r="E76" t="s">
        <v>21</v>
      </c>
      <c r="F76" t="s">
        <v>232</v>
      </c>
      <c r="G76" t="s">
        <v>233</v>
      </c>
      <c r="H76" t="s">
        <v>18</v>
      </c>
      <c r="J76" t="s">
        <v>70</v>
      </c>
      <c r="K76" t="s">
        <v>18</v>
      </c>
      <c r="L76" t="s">
        <v>18</v>
      </c>
      <c r="M76" t="s">
        <v>18</v>
      </c>
      <c r="N76" s="2">
        <v>46204.375</v>
      </c>
      <c r="O76" t="s">
        <v>17</v>
      </c>
      <c r="P76" t="s">
        <v>25</v>
      </c>
      <c r="Q76" s="2">
        <v>46221.626388888886</v>
      </c>
      <c r="R76" t="s">
        <v>82</v>
      </c>
      <c r="Z76" s="2"/>
      <c r="AM76" s="2"/>
      <c r="AP76" s="8"/>
      <c r="AQ76" s="8"/>
      <c r="AX76" s="7"/>
      <c r="AY76" s="7"/>
    </row>
    <row r="77" spans="1:51" x14ac:dyDescent="0.4">
      <c r="A77">
        <v>11240365</v>
      </c>
      <c r="B77" t="s">
        <v>199</v>
      </c>
      <c r="C77" t="s">
        <v>13</v>
      </c>
      <c r="D77" t="s">
        <v>15</v>
      </c>
      <c r="E77" t="s">
        <v>21</v>
      </c>
      <c r="F77" t="s">
        <v>232</v>
      </c>
      <c r="G77" t="s">
        <v>274</v>
      </c>
      <c r="H77" t="s">
        <v>18</v>
      </c>
      <c r="J77" t="s">
        <v>200</v>
      </c>
      <c r="K77" t="s">
        <v>18</v>
      </c>
      <c r="L77" t="s">
        <v>18</v>
      </c>
      <c r="M77" t="s">
        <v>18</v>
      </c>
      <c r="N77" s="2">
        <v>46219.006944444445</v>
      </c>
      <c r="O77" t="s">
        <v>17</v>
      </c>
      <c r="P77" t="s">
        <v>25</v>
      </c>
      <c r="Q77" s="2">
        <v>46221.626388888886</v>
      </c>
      <c r="R77" t="s">
        <v>87</v>
      </c>
      <c r="Z77" s="2"/>
      <c r="AM77" s="2"/>
      <c r="AP77" s="8"/>
      <c r="AQ77" s="8"/>
      <c r="AX77" s="7"/>
      <c r="AY77" s="7"/>
    </row>
    <row r="78" spans="1:51" x14ac:dyDescent="0.4">
      <c r="A78">
        <v>11240734</v>
      </c>
      <c r="B78" t="s">
        <v>191</v>
      </c>
      <c r="C78" t="s">
        <v>13</v>
      </c>
      <c r="D78" t="s">
        <v>15</v>
      </c>
      <c r="E78" t="s">
        <v>21</v>
      </c>
      <c r="F78" t="s">
        <v>232</v>
      </c>
      <c r="G78" t="s">
        <v>248</v>
      </c>
      <c r="H78" t="s">
        <v>18</v>
      </c>
      <c r="J78" t="s">
        <v>192</v>
      </c>
      <c r="K78" t="s">
        <v>18</v>
      </c>
      <c r="L78" t="s">
        <v>18</v>
      </c>
      <c r="M78" t="s">
        <v>18</v>
      </c>
      <c r="N78" s="2">
        <v>46219.128472222219</v>
      </c>
      <c r="O78" t="s">
        <v>17</v>
      </c>
      <c r="P78" t="s">
        <v>25</v>
      </c>
      <c r="Q78" s="2">
        <v>46221.626388888886</v>
      </c>
      <c r="R78" t="s">
        <v>87</v>
      </c>
      <c r="Z78" s="2"/>
      <c r="AM78" s="2"/>
      <c r="AP78" s="8"/>
      <c r="AQ78" s="8"/>
      <c r="AX78" s="7"/>
      <c r="AY78" s="7"/>
    </row>
    <row r="79" spans="1:51" x14ac:dyDescent="0.4">
      <c r="A79">
        <v>11236151</v>
      </c>
      <c r="B79" t="s">
        <v>149</v>
      </c>
      <c r="C79" t="s">
        <v>13</v>
      </c>
      <c r="D79" t="s">
        <v>15</v>
      </c>
      <c r="E79" t="s">
        <v>21</v>
      </c>
      <c r="F79" t="s">
        <v>232</v>
      </c>
      <c r="G79" t="s">
        <v>298</v>
      </c>
      <c r="H79" t="s">
        <v>18</v>
      </c>
      <c r="J79" t="s">
        <v>150</v>
      </c>
      <c r="K79" t="s">
        <v>18</v>
      </c>
      <c r="L79" t="s">
        <v>18</v>
      </c>
      <c r="M79" t="s">
        <v>18</v>
      </c>
      <c r="N79" s="2">
        <v>46218.129861111112</v>
      </c>
      <c r="O79" t="s">
        <v>17</v>
      </c>
      <c r="P79" t="s">
        <v>25</v>
      </c>
      <c r="Q79" s="2">
        <v>46221.626388888886</v>
      </c>
      <c r="R79" t="s">
        <v>86</v>
      </c>
      <c r="Z79" s="2"/>
      <c r="AM79" s="2"/>
      <c r="AP79" s="8"/>
      <c r="AQ79" s="8"/>
      <c r="AX79" s="7"/>
      <c r="AY79" s="7"/>
    </row>
    <row r="80" spans="1:51" x14ac:dyDescent="0.4">
      <c r="A80">
        <v>11239279</v>
      </c>
      <c r="B80" t="s">
        <v>209</v>
      </c>
      <c r="C80" t="s">
        <v>13</v>
      </c>
      <c r="D80" t="s">
        <v>15</v>
      </c>
      <c r="E80" t="s">
        <v>21</v>
      </c>
      <c r="F80" t="s">
        <v>232</v>
      </c>
      <c r="G80" t="s">
        <v>288</v>
      </c>
      <c r="H80" t="s">
        <v>26</v>
      </c>
      <c r="J80" t="s">
        <v>210</v>
      </c>
      <c r="K80" t="s">
        <v>26</v>
      </c>
      <c r="L80" t="s">
        <v>29</v>
      </c>
      <c r="M80" t="s">
        <v>26</v>
      </c>
      <c r="N80" s="2">
        <v>46218.779861111114</v>
      </c>
      <c r="O80" t="s">
        <v>17</v>
      </c>
      <c r="P80" t="s">
        <v>14</v>
      </c>
      <c r="Q80" s="2">
        <v>46221.626388888886</v>
      </c>
      <c r="R80" t="s">
        <v>87</v>
      </c>
      <c r="Z80" s="2"/>
      <c r="AM80" s="2"/>
      <c r="AP80" s="8"/>
      <c r="AQ80" s="8"/>
      <c r="AX80" s="7"/>
      <c r="AY80" s="7"/>
    </row>
    <row r="81" spans="1:51" x14ac:dyDescent="0.4">
      <c r="A81">
        <v>11190426</v>
      </c>
      <c r="B81" t="s">
        <v>75</v>
      </c>
      <c r="C81" t="s">
        <v>13</v>
      </c>
      <c r="D81" t="s">
        <v>15</v>
      </c>
      <c r="E81" t="s">
        <v>21</v>
      </c>
      <c r="F81" t="s">
        <v>232</v>
      </c>
      <c r="G81" t="s">
        <v>302</v>
      </c>
      <c r="H81" t="s">
        <v>18</v>
      </c>
      <c r="J81" t="s">
        <v>76</v>
      </c>
      <c r="K81" t="s">
        <v>18</v>
      </c>
      <c r="L81" t="s">
        <v>18</v>
      </c>
      <c r="M81" t="s">
        <v>18</v>
      </c>
      <c r="N81" s="2">
        <v>46205.254166666666</v>
      </c>
      <c r="O81" t="s">
        <v>17</v>
      </c>
      <c r="P81" t="s">
        <v>25</v>
      </c>
      <c r="Q81" s="2">
        <v>46221.626388888886</v>
      </c>
      <c r="R81" t="s">
        <v>82</v>
      </c>
      <c r="AM81" s="2"/>
      <c r="AP81" s="8"/>
      <c r="AQ81" s="8"/>
      <c r="AX81" s="7"/>
      <c r="AY81" s="7"/>
    </row>
    <row r="82" spans="1:51" x14ac:dyDescent="0.4">
      <c r="A82">
        <v>11231148</v>
      </c>
      <c r="B82" t="s">
        <v>145</v>
      </c>
      <c r="C82" t="s">
        <v>13</v>
      </c>
      <c r="D82" t="s">
        <v>20</v>
      </c>
      <c r="E82" t="s">
        <v>21</v>
      </c>
      <c r="F82" t="s">
        <v>270</v>
      </c>
      <c r="G82" t="s">
        <v>271</v>
      </c>
      <c r="H82" t="s">
        <v>18</v>
      </c>
      <c r="J82" t="s">
        <v>146</v>
      </c>
      <c r="K82" t="s">
        <v>18</v>
      </c>
      <c r="L82" t="s">
        <v>19</v>
      </c>
      <c r="M82" t="s">
        <v>18</v>
      </c>
      <c r="N82" s="2">
        <v>46216.888194444444</v>
      </c>
      <c r="O82" t="s">
        <v>17</v>
      </c>
      <c r="P82" t="s">
        <v>14</v>
      </c>
      <c r="Q82" s="2">
        <v>46221.626388888886</v>
      </c>
      <c r="R82" t="s">
        <v>86</v>
      </c>
      <c r="Z82" s="2"/>
      <c r="AM82" s="2"/>
      <c r="AP82" s="8"/>
      <c r="AQ82" s="8"/>
      <c r="AX82" s="7"/>
      <c r="AY82" s="7"/>
    </row>
    <row r="83" spans="1:51" x14ac:dyDescent="0.4">
      <c r="A83">
        <v>11234526</v>
      </c>
      <c r="B83" t="s">
        <v>159</v>
      </c>
      <c r="C83" t="s">
        <v>13</v>
      </c>
      <c r="D83" t="s">
        <v>20</v>
      </c>
      <c r="E83" t="s">
        <v>51</v>
      </c>
      <c r="F83" t="s">
        <v>270</v>
      </c>
      <c r="G83" t="s">
        <v>305</v>
      </c>
      <c r="H83" t="s">
        <v>18</v>
      </c>
      <c r="J83" t="s">
        <v>160</v>
      </c>
      <c r="K83" t="s">
        <v>18</v>
      </c>
      <c r="L83" t="s">
        <v>19</v>
      </c>
      <c r="M83" t="s">
        <v>18</v>
      </c>
      <c r="N83" s="2">
        <v>46217.751388888886</v>
      </c>
      <c r="O83" t="s">
        <v>17</v>
      </c>
      <c r="P83" t="s">
        <v>14</v>
      </c>
      <c r="Q83" s="2">
        <v>46221.626388888886</v>
      </c>
      <c r="R83" t="s">
        <v>86</v>
      </c>
      <c r="Z83" s="2"/>
      <c r="AM83" s="2"/>
      <c r="AP83" s="8"/>
      <c r="AQ83" s="8"/>
      <c r="AX83" s="7"/>
      <c r="AY83" s="7"/>
    </row>
    <row r="84" spans="1:51" x14ac:dyDescent="0.4">
      <c r="A84">
        <v>11248953</v>
      </c>
      <c r="B84" t="s">
        <v>402</v>
      </c>
      <c r="C84" t="s">
        <v>13</v>
      </c>
      <c r="D84" t="s">
        <v>15</v>
      </c>
      <c r="E84" t="s">
        <v>21</v>
      </c>
      <c r="F84" t="s">
        <v>263</v>
      </c>
      <c r="G84" t="s">
        <v>403</v>
      </c>
      <c r="H84" t="s">
        <v>18</v>
      </c>
      <c r="J84" t="s">
        <v>404</v>
      </c>
      <c r="K84" t="s">
        <v>18</v>
      </c>
      <c r="L84" t="s">
        <v>18</v>
      </c>
      <c r="M84" t="s">
        <v>18</v>
      </c>
      <c r="N84" s="2">
        <v>46220.885416666664</v>
      </c>
      <c r="O84" t="s">
        <v>17</v>
      </c>
      <c r="P84" t="s">
        <v>25</v>
      </c>
      <c r="Q84" s="2">
        <v>46221.626388888886</v>
      </c>
      <c r="R84" t="s">
        <v>85</v>
      </c>
      <c r="Z84" s="2"/>
      <c r="AM84" s="2"/>
      <c r="AP84" s="8"/>
      <c r="AQ84" s="8"/>
      <c r="AX84" s="7"/>
      <c r="AY84" s="7"/>
    </row>
    <row r="85" spans="1:51" x14ac:dyDescent="0.4">
      <c r="A85">
        <v>11248531</v>
      </c>
      <c r="B85" t="s">
        <v>405</v>
      </c>
      <c r="C85" t="s">
        <v>13</v>
      </c>
      <c r="D85" t="s">
        <v>15</v>
      </c>
      <c r="E85" t="s">
        <v>51</v>
      </c>
      <c r="F85" t="s">
        <v>270</v>
      </c>
      <c r="G85" t="s">
        <v>406</v>
      </c>
      <c r="H85" t="s">
        <v>18</v>
      </c>
      <c r="J85" t="s">
        <v>407</v>
      </c>
      <c r="K85" t="s">
        <v>18</v>
      </c>
      <c r="L85" t="s">
        <v>18</v>
      </c>
      <c r="M85" t="s">
        <v>18</v>
      </c>
      <c r="N85" s="2">
        <v>46220.77847222222</v>
      </c>
      <c r="O85" t="s">
        <v>17</v>
      </c>
      <c r="P85" t="s">
        <v>14</v>
      </c>
      <c r="Q85" s="2">
        <v>46221.625694444447</v>
      </c>
      <c r="R85" t="s">
        <v>85</v>
      </c>
      <c r="Z85" s="2"/>
      <c r="AM85" s="2"/>
      <c r="AP85" s="8"/>
      <c r="AQ85" s="8"/>
      <c r="AX85" s="7"/>
      <c r="AY85" s="7"/>
    </row>
    <row r="86" spans="1:51" x14ac:dyDescent="0.4">
      <c r="A86">
        <v>11248944</v>
      </c>
      <c r="B86" t="s">
        <v>408</v>
      </c>
      <c r="C86" t="s">
        <v>13</v>
      </c>
      <c r="D86" t="s">
        <v>15</v>
      </c>
      <c r="E86" t="s">
        <v>21</v>
      </c>
      <c r="F86" t="s">
        <v>291</v>
      </c>
      <c r="G86" t="s">
        <v>409</v>
      </c>
      <c r="H86" t="s">
        <v>18</v>
      </c>
      <c r="J86" t="s">
        <v>410</v>
      </c>
      <c r="K86" t="s">
        <v>18</v>
      </c>
      <c r="L86" t="s">
        <v>18</v>
      </c>
      <c r="M86" t="s">
        <v>18</v>
      </c>
      <c r="N86" s="2">
        <v>46220.882638888892</v>
      </c>
      <c r="O86" t="s">
        <v>17</v>
      </c>
      <c r="P86" t="s">
        <v>14</v>
      </c>
      <c r="Q86" s="2">
        <v>46221.625694444447</v>
      </c>
      <c r="R86" t="s">
        <v>85</v>
      </c>
      <c r="Z86" s="2"/>
      <c r="AM86" s="2"/>
      <c r="AP86" s="8"/>
      <c r="AQ86" s="8"/>
      <c r="AX86" s="7"/>
      <c r="AY86" s="7"/>
    </row>
    <row r="87" spans="1:51" x14ac:dyDescent="0.4">
      <c r="A87">
        <v>11235360</v>
      </c>
      <c r="B87" t="s">
        <v>161</v>
      </c>
      <c r="C87" t="s">
        <v>13</v>
      </c>
      <c r="D87" t="s">
        <v>15</v>
      </c>
      <c r="E87" t="s">
        <v>16</v>
      </c>
      <c r="F87" t="s">
        <v>283</v>
      </c>
      <c r="G87" t="s">
        <v>292</v>
      </c>
      <c r="H87" t="s">
        <v>18</v>
      </c>
      <c r="J87" t="s">
        <v>162</v>
      </c>
      <c r="K87" t="s">
        <v>18</v>
      </c>
      <c r="L87" t="s">
        <v>18</v>
      </c>
      <c r="M87" t="s">
        <v>18</v>
      </c>
      <c r="N87" s="2">
        <v>46217.92083333333</v>
      </c>
      <c r="O87" t="s">
        <v>17</v>
      </c>
      <c r="P87" t="s">
        <v>25</v>
      </c>
      <c r="Q87" s="2">
        <v>46221.622916666667</v>
      </c>
      <c r="R87" t="s">
        <v>86</v>
      </c>
      <c r="Z87" s="2"/>
      <c r="AM87" s="2"/>
      <c r="AP87" s="8"/>
      <c r="AQ87" s="8"/>
      <c r="AX87" s="7"/>
      <c r="AY87" s="7"/>
    </row>
    <row r="88" spans="1:51" x14ac:dyDescent="0.4">
      <c r="A88">
        <v>11134806</v>
      </c>
      <c r="B88" t="s">
        <v>53</v>
      </c>
      <c r="C88" t="s">
        <v>13</v>
      </c>
      <c r="D88" t="s">
        <v>15</v>
      </c>
      <c r="E88" t="s">
        <v>21</v>
      </c>
      <c r="F88" t="s">
        <v>280</v>
      </c>
      <c r="G88" t="s">
        <v>322</v>
      </c>
      <c r="H88" t="s">
        <v>18</v>
      </c>
      <c r="J88" t="s">
        <v>54</v>
      </c>
      <c r="K88" t="s">
        <v>18</v>
      </c>
      <c r="L88" t="s">
        <v>18</v>
      </c>
      <c r="M88" t="s">
        <v>18</v>
      </c>
      <c r="N88" s="2">
        <v>46190.402083333334</v>
      </c>
      <c r="O88" t="s">
        <v>27</v>
      </c>
      <c r="P88" t="s">
        <v>14</v>
      </c>
      <c r="Q88" s="2">
        <v>46221.62222222222</v>
      </c>
      <c r="R88" t="s">
        <v>83</v>
      </c>
      <c r="Z88" s="2"/>
      <c r="AM88" s="2"/>
      <c r="AP88" s="8"/>
      <c r="AQ88" s="8"/>
      <c r="AX88" s="7"/>
      <c r="AY88" s="7"/>
    </row>
    <row r="89" spans="1:51" x14ac:dyDescent="0.4">
      <c r="A89">
        <v>11177712</v>
      </c>
      <c r="B89" t="s">
        <v>412</v>
      </c>
      <c r="C89" t="s">
        <v>13</v>
      </c>
      <c r="D89" t="s">
        <v>15</v>
      </c>
      <c r="E89" t="s">
        <v>16</v>
      </c>
      <c r="F89" t="s">
        <v>281</v>
      </c>
      <c r="G89" t="s">
        <v>413</v>
      </c>
      <c r="H89" t="s">
        <v>18</v>
      </c>
      <c r="J89" t="s">
        <v>414</v>
      </c>
      <c r="K89" t="s">
        <v>18</v>
      </c>
      <c r="L89" t="s">
        <v>18</v>
      </c>
      <c r="M89" t="s">
        <v>18</v>
      </c>
      <c r="N89" s="2">
        <v>46202.554166666669</v>
      </c>
      <c r="O89" t="s">
        <v>17</v>
      </c>
      <c r="P89" t="s">
        <v>14</v>
      </c>
      <c r="Q89" s="2">
        <v>46221.62222222222</v>
      </c>
      <c r="R89" t="s">
        <v>82</v>
      </c>
      <c r="Z89" s="2"/>
      <c r="AM89" s="2"/>
      <c r="AP89" s="8"/>
      <c r="AQ89" s="8"/>
      <c r="AX89" s="7"/>
      <c r="AY89" s="7"/>
    </row>
    <row r="90" spans="1:51" x14ac:dyDescent="0.4">
      <c r="A90">
        <v>11245734</v>
      </c>
      <c r="B90" t="s">
        <v>418</v>
      </c>
      <c r="C90" t="s">
        <v>13</v>
      </c>
      <c r="D90" t="s">
        <v>15</v>
      </c>
      <c r="E90" t="s">
        <v>23</v>
      </c>
      <c r="F90" t="s">
        <v>260</v>
      </c>
      <c r="G90" t="s">
        <v>419</v>
      </c>
      <c r="H90" t="s">
        <v>18</v>
      </c>
      <c r="J90" t="s">
        <v>420</v>
      </c>
      <c r="K90" t="s">
        <v>18</v>
      </c>
      <c r="L90" t="s">
        <v>18</v>
      </c>
      <c r="M90" t="s">
        <v>18</v>
      </c>
      <c r="N90" s="2">
        <v>46220.181250000001</v>
      </c>
      <c r="O90" t="s">
        <v>17</v>
      </c>
      <c r="P90" t="s">
        <v>14</v>
      </c>
      <c r="Q90" s="2">
        <v>46221.62222222222</v>
      </c>
      <c r="R90" t="s">
        <v>87</v>
      </c>
      <c r="Z90" s="2"/>
      <c r="AM90" s="2"/>
      <c r="AP90" s="8"/>
      <c r="AQ90" s="8"/>
      <c r="AX90" s="7"/>
      <c r="AY90" s="7"/>
    </row>
    <row r="91" spans="1:51" x14ac:dyDescent="0.4">
      <c r="A91">
        <v>11248206</v>
      </c>
      <c r="B91" t="s">
        <v>423</v>
      </c>
      <c r="C91" t="s">
        <v>13</v>
      </c>
      <c r="D91" t="s">
        <v>15</v>
      </c>
      <c r="E91" t="s">
        <v>16</v>
      </c>
      <c r="F91" t="s">
        <v>240</v>
      </c>
      <c r="G91" t="s">
        <v>424</v>
      </c>
      <c r="H91" t="s">
        <v>18</v>
      </c>
      <c r="J91" t="s">
        <v>425</v>
      </c>
      <c r="K91" t="s">
        <v>18</v>
      </c>
      <c r="L91" t="s">
        <v>18</v>
      </c>
      <c r="M91" t="s">
        <v>18</v>
      </c>
      <c r="N91" s="2">
        <v>46220.709722222222</v>
      </c>
      <c r="O91" t="s">
        <v>17</v>
      </c>
      <c r="P91" t="s">
        <v>25</v>
      </c>
      <c r="Q91" s="2">
        <v>46221.619444444441</v>
      </c>
      <c r="R91" t="s">
        <v>85</v>
      </c>
      <c r="Z91" s="2"/>
      <c r="AM91" s="2"/>
      <c r="AP91" s="8"/>
      <c r="AQ91" s="8"/>
      <c r="AX91" s="7"/>
      <c r="AY91" s="7"/>
    </row>
    <row r="92" spans="1:51" x14ac:dyDescent="0.4">
      <c r="A92">
        <v>11247900</v>
      </c>
      <c r="B92" t="s">
        <v>426</v>
      </c>
      <c r="C92" t="s">
        <v>13</v>
      </c>
      <c r="D92" t="s">
        <v>15</v>
      </c>
      <c r="E92" t="s">
        <v>28</v>
      </c>
      <c r="F92" t="s">
        <v>261</v>
      </c>
      <c r="G92" t="s">
        <v>427</v>
      </c>
      <c r="H92" t="s">
        <v>18</v>
      </c>
      <c r="J92" t="s">
        <v>428</v>
      </c>
      <c r="K92" t="s">
        <v>18</v>
      </c>
      <c r="L92" t="s">
        <v>18</v>
      </c>
      <c r="M92" t="s">
        <v>18</v>
      </c>
      <c r="N92" s="2">
        <v>46220.661805555559</v>
      </c>
      <c r="O92" t="s">
        <v>17</v>
      </c>
      <c r="P92" t="s">
        <v>14</v>
      </c>
      <c r="Q92" s="2">
        <v>46221.618750000001</v>
      </c>
      <c r="R92" t="s">
        <v>87</v>
      </c>
      <c r="Z92" s="2"/>
      <c r="AM92" s="2"/>
      <c r="AP92" s="8"/>
      <c r="AQ92" s="8"/>
      <c r="AX92" s="7"/>
      <c r="AY92" s="7"/>
    </row>
    <row r="93" spans="1:51" x14ac:dyDescent="0.4">
      <c r="A93">
        <v>11247778</v>
      </c>
      <c r="B93" t="s">
        <v>429</v>
      </c>
      <c r="C93" t="s">
        <v>13</v>
      </c>
      <c r="D93" t="s">
        <v>15</v>
      </c>
      <c r="E93" t="s">
        <v>16</v>
      </c>
      <c r="F93" t="s">
        <v>311</v>
      </c>
      <c r="G93" t="s">
        <v>430</v>
      </c>
      <c r="H93" t="s">
        <v>18</v>
      </c>
      <c r="J93" t="s">
        <v>431</v>
      </c>
      <c r="K93" t="s">
        <v>18</v>
      </c>
      <c r="L93" t="s">
        <v>18</v>
      </c>
      <c r="M93" t="s">
        <v>18</v>
      </c>
      <c r="N93" s="2">
        <v>46220.642361111109</v>
      </c>
      <c r="O93" t="s">
        <v>17</v>
      </c>
      <c r="P93" t="s">
        <v>25</v>
      </c>
      <c r="Q93" s="2">
        <v>46221.618750000001</v>
      </c>
      <c r="R93" t="s">
        <v>87</v>
      </c>
      <c r="Z93" s="2"/>
      <c r="AM93" s="2"/>
      <c r="AP93" s="8"/>
      <c r="AQ93" s="8"/>
      <c r="AX93" s="7"/>
      <c r="AY93" s="7"/>
    </row>
    <row r="94" spans="1:51" x14ac:dyDescent="0.4">
      <c r="A94">
        <v>11247762</v>
      </c>
      <c r="B94" t="s">
        <v>432</v>
      </c>
      <c r="C94" t="s">
        <v>13</v>
      </c>
      <c r="D94" t="s">
        <v>15</v>
      </c>
      <c r="E94" t="s">
        <v>28</v>
      </c>
      <c r="F94" t="s">
        <v>261</v>
      </c>
      <c r="G94" t="s">
        <v>239</v>
      </c>
      <c r="H94" t="s">
        <v>18</v>
      </c>
      <c r="J94" t="s">
        <v>433</v>
      </c>
      <c r="K94" t="s">
        <v>18</v>
      </c>
      <c r="L94" t="s">
        <v>18</v>
      </c>
      <c r="M94" t="s">
        <v>18</v>
      </c>
      <c r="N94" s="2">
        <v>46220.637499999997</v>
      </c>
      <c r="O94" t="s">
        <v>22</v>
      </c>
      <c r="P94" t="s">
        <v>14</v>
      </c>
      <c r="Q94" s="2">
        <v>46221.618750000001</v>
      </c>
      <c r="R94" t="s">
        <v>87</v>
      </c>
      <c r="AM94" s="2"/>
      <c r="AP94" s="8"/>
      <c r="AQ94" s="8"/>
      <c r="AX94" s="7"/>
      <c r="AY94" s="7"/>
    </row>
    <row r="95" spans="1:51" x14ac:dyDescent="0.4">
      <c r="A95">
        <v>11179307</v>
      </c>
      <c r="B95" t="s">
        <v>65</v>
      </c>
      <c r="C95" t="s">
        <v>13</v>
      </c>
      <c r="D95" t="s">
        <v>20</v>
      </c>
      <c r="E95" t="s">
        <v>16</v>
      </c>
      <c r="F95" t="s">
        <v>283</v>
      </c>
      <c r="G95" t="s">
        <v>285</v>
      </c>
      <c r="H95" t="s">
        <v>18</v>
      </c>
      <c r="J95" t="s">
        <v>66</v>
      </c>
      <c r="K95" t="s">
        <v>18</v>
      </c>
      <c r="L95" t="s">
        <v>18</v>
      </c>
      <c r="M95" t="s">
        <v>18</v>
      </c>
      <c r="N95" s="2">
        <v>46202.770138888889</v>
      </c>
      <c r="O95" t="s">
        <v>17</v>
      </c>
      <c r="P95" t="s">
        <v>25</v>
      </c>
      <c r="Q95" s="2">
        <v>46221.615277777775</v>
      </c>
      <c r="R95" t="s">
        <v>82</v>
      </c>
      <c r="AM95" s="2"/>
      <c r="AP95" s="8"/>
      <c r="AQ95" s="8"/>
      <c r="AX95" s="7"/>
      <c r="AY95" s="7"/>
    </row>
    <row r="96" spans="1:51" x14ac:dyDescent="0.4">
      <c r="A96">
        <v>11239013</v>
      </c>
      <c r="B96" t="s">
        <v>212</v>
      </c>
      <c r="C96" t="s">
        <v>13</v>
      </c>
      <c r="D96" t="s">
        <v>20</v>
      </c>
      <c r="E96" t="s">
        <v>16</v>
      </c>
      <c r="F96" t="s">
        <v>281</v>
      </c>
      <c r="G96" t="s">
        <v>239</v>
      </c>
      <c r="H96" t="s">
        <v>18</v>
      </c>
      <c r="J96" t="s">
        <v>213</v>
      </c>
      <c r="K96" t="s">
        <v>18</v>
      </c>
      <c r="L96" t="s">
        <v>18</v>
      </c>
      <c r="M96" t="s">
        <v>18</v>
      </c>
      <c r="N96" s="2">
        <v>46218.734027777777</v>
      </c>
      <c r="O96" t="s">
        <v>22</v>
      </c>
      <c r="P96" t="s">
        <v>14</v>
      </c>
      <c r="Q96" s="2">
        <v>46221.615277777775</v>
      </c>
      <c r="R96" t="s">
        <v>87</v>
      </c>
      <c r="AM96" s="2"/>
      <c r="AP96" s="8"/>
      <c r="AQ96" s="8"/>
      <c r="AX96" s="7"/>
      <c r="AY96" s="7"/>
    </row>
    <row r="97" spans="1:51" x14ac:dyDescent="0.4">
      <c r="A97">
        <v>11237015</v>
      </c>
      <c r="B97" t="s">
        <v>155</v>
      </c>
      <c r="C97" t="s">
        <v>13</v>
      </c>
      <c r="D97" t="s">
        <v>20</v>
      </c>
      <c r="E97" t="s">
        <v>140</v>
      </c>
      <c r="F97" t="s">
        <v>261</v>
      </c>
      <c r="G97" t="s">
        <v>289</v>
      </c>
      <c r="H97" t="s">
        <v>18</v>
      </c>
      <c r="J97" t="s">
        <v>156</v>
      </c>
      <c r="K97" t="s">
        <v>18</v>
      </c>
      <c r="L97" t="s">
        <v>18</v>
      </c>
      <c r="M97" t="s">
        <v>18</v>
      </c>
      <c r="N97" s="2">
        <v>46218.40902777778</v>
      </c>
      <c r="O97" t="s">
        <v>17</v>
      </c>
      <c r="P97" t="s">
        <v>14</v>
      </c>
      <c r="Q97" s="2">
        <v>46221.615277777775</v>
      </c>
      <c r="R97" t="s">
        <v>86</v>
      </c>
      <c r="Z97" s="2"/>
      <c r="AM97" s="2"/>
      <c r="AP97" s="8"/>
      <c r="AQ97" s="8"/>
      <c r="AX97" s="7"/>
      <c r="AY97" s="7"/>
    </row>
    <row r="98" spans="1:51" x14ac:dyDescent="0.4">
      <c r="A98">
        <v>11241210</v>
      </c>
      <c r="B98" t="s">
        <v>189</v>
      </c>
      <c r="C98" t="s">
        <v>13</v>
      </c>
      <c r="D98" t="s">
        <v>15</v>
      </c>
      <c r="E98" t="s">
        <v>140</v>
      </c>
      <c r="F98" t="s">
        <v>236</v>
      </c>
      <c r="G98" t="s">
        <v>259</v>
      </c>
      <c r="H98" t="s">
        <v>18</v>
      </c>
      <c r="J98" t="s">
        <v>190</v>
      </c>
      <c r="K98" t="s">
        <v>18</v>
      </c>
      <c r="L98" t="s">
        <v>19</v>
      </c>
      <c r="M98" t="s">
        <v>18</v>
      </c>
      <c r="N98" s="2">
        <v>46219.291666666664</v>
      </c>
      <c r="O98" t="s">
        <v>17</v>
      </c>
      <c r="P98" t="s">
        <v>14</v>
      </c>
      <c r="Q98" s="2">
        <v>46221.611805555556</v>
      </c>
      <c r="R98" t="s">
        <v>87</v>
      </c>
      <c r="AM98" s="2"/>
      <c r="AP98" s="8"/>
      <c r="AQ98" s="8"/>
      <c r="AX98" s="7"/>
      <c r="AY98" s="7"/>
    </row>
    <row r="99" spans="1:51" x14ac:dyDescent="0.4">
      <c r="A99">
        <v>11246513</v>
      </c>
      <c r="B99" t="s">
        <v>434</v>
      </c>
      <c r="C99" t="s">
        <v>13</v>
      </c>
      <c r="D99" t="s">
        <v>15</v>
      </c>
      <c r="E99" t="s">
        <v>140</v>
      </c>
      <c r="F99" t="s">
        <v>260</v>
      </c>
      <c r="G99" t="s">
        <v>435</v>
      </c>
      <c r="H99" t="s">
        <v>18</v>
      </c>
      <c r="J99" t="s">
        <v>436</v>
      </c>
      <c r="K99" t="s">
        <v>18</v>
      </c>
      <c r="L99" t="s">
        <v>18</v>
      </c>
      <c r="M99" t="s">
        <v>18</v>
      </c>
      <c r="N99" s="2">
        <v>46220.433333333334</v>
      </c>
      <c r="O99" t="s">
        <v>17</v>
      </c>
      <c r="P99" t="s">
        <v>25</v>
      </c>
      <c r="Q99" s="2">
        <v>46221.611805555556</v>
      </c>
      <c r="R99" t="s">
        <v>87</v>
      </c>
      <c r="AM99" s="2"/>
      <c r="AP99" s="8"/>
      <c r="AQ99" s="8"/>
      <c r="AX99" s="7"/>
      <c r="AY99" s="7"/>
    </row>
    <row r="100" spans="1:51" x14ac:dyDescent="0.4">
      <c r="A100">
        <v>11246529</v>
      </c>
      <c r="B100" t="s">
        <v>437</v>
      </c>
      <c r="C100" t="s">
        <v>13</v>
      </c>
      <c r="D100" t="s">
        <v>15</v>
      </c>
      <c r="E100" t="s">
        <v>140</v>
      </c>
      <c r="F100" t="s">
        <v>252</v>
      </c>
      <c r="G100" t="s">
        <v>435</v>
      </c>
      <c r="H100" t="s">
        <v>18</v>
      </c>
      <c r="J100" t="s">
        <v>438</v>
      </c>
      <c r="K100" t="s">
        <v>18</v>
      </c>
      <c r="L100" t="s">
        <v>18</v>
      </c>
      <c r="M100" t="s">
        <v>18</v>
      </c>
      <c r="N100" s="2">
        <v>46220.4375</v>
      </c>
      <c r="O100" t="s">
        <v>17</v>
      </c>
      <c r="P100" t="s">
        <v>25</v>
      </c>
      <c r="Q100" s="2">
        <v>46221.611805555556</v>
      </c>
      <c r="R100" t="s">
        <v>87</v>
      </c>
      <c r="Z100" s="2"/>
      <c r="AM100" s="2"/>
      <c r="AP100" s="8"/>
      <c r="AQ100" s="8"/>
      <c r="AX100" s="7"/>
      <c r="AY100" s="7"/>
    </row>
    <row r="101" spans="1:51" x14ac:dyDescent="0.4">
      <c r="A101">
        <v>11246555</v>
      </c>
      <c r="B101" t="s">
        <v>439</v>
      </c>
      <c r="C101" t="s">
        <v>13</v>
      </c>
      <c r="D101" t="s">
        <v>15</v>
      </c>
      <c r="E101" t="s">
        <v>28</v>
      </c>
      <c r="F101" t="s">
        <v>261</v>
      </c>
      <c r="G101" t="s">
        <v>239</v>
      </c>
      <c r="H101" t="s">
        <v>18</v>
      </c>
      <c r="J101" t="s">
        <v>440</v>
      </c>
      <c r="K101" t="s">
        <v>18</v>
      </c>
      <c r="L101" t="s">
        <v>18</v>
      </c>
      <c r="M101" t="s">
        <v>18</v>
      </c>
      <c r="N101" s="2">
        <v>46220.440972222219</v>
      </c>
      <c r="O101" t="s">
        <v>22</v>
      </c>
      <c r="P101" t="s">
        <v>14</v>
      </c>
      <c r="Q101" s="2">
        <v>46221.611805555556</v>
      </c>
      <c r="R101" t="s">
        <v>87</v>
      </c>
      <c r="Z101" s="2"/>
      <c r="AM101" s="2"/>
      <c r="AP101" s="8"/>
      <c r="AQ101" s="8"/>
      <c r="AX101" s="7"/>
      <c r="AY101" s="7"/>
    </row>
    <row r="102" spans="1:51" x14ac:dyDescent="0.4">
      <c r="A102">
        <v>11246439</v>
      </c>
      <c r="B102" t="s">
        <v>441</v>
      </c>
      <c r="C102" t="s">
        <v>13</v>
      </c>
      <c r="D102" t="s">
        <v>15</v>
      </c>
      <c r="E102" t="s">
        <v>23</v>
      </c>
      <c r="F102" t="s">
        <v>261</v>
      </c>
      <c r="G102" t="s">
        <v>442</v>
      </c>
      <c r="H102" t="s">
        <v>18</v>
      </c>
      <c r="J102" t="s">
        <v>443</v>
      </c>
      <c r="K102" t="s">
        <v>18</v>
      </c>
      <c r="L102" t="s">
        <v>18</v>
      </c>
      <c r="M102" t="s">
        <v>18</v>
      </c>
      <c r="N102" s="2">
        <v>46220.400694444441</v>
      </c>
      <c r="O102" t="s">
        <v>17</v>
      </c>
      <c r="P102" t="s">
        <v>25</v>
      </c>
      <c r="Q102" s="2">
        <v>46221.611805555556</v>
      </c>
      <c r="R102" t="s">
        <v>87</v>
      </c>
      <c r="AM102" s="2"/>
      <c r="AP102" s="8"/>
      <c r="AQ102" s="8"/>
      <c r="AX102" s="7"/>
      <c r="AY102" s="7"/>
    </row>
    <row r="103" spans="1:51" x14ac:dyDescent="0.4">
      <c r="A103">
        <v>11241352</v>
      </c>
      <c r="B103" t="s">
        <v>180</v>
      </c>
      <c r="C103" t="s">
        <v>13</v>
      </c>
      <c r="D103" t="s">
        <v>20</v>
      </c>
      <c r="E103" t="s">
        <v>23</v>
      </c>
      <c r="F103" t="s">
        <v>222</v>
      </c>
      <c r="G103" t="s">
        <v>223</v>
      </c>
      <c r="H103" t="s">
        <v>18</v>
      </c>
      <c r="J103" t="s">
        <v>181</v>
      </c>
      <c r="K103" t="s">
        <v>18</v>
      </c>
      <c r="L103" t="s">
        <v>18</v>
      </c>
      <c r="M103" t="s">
        <v>18</v>
      </c>
      <c r="N103" s="2">
        <v>46219.354861111111</v>
      </c>
      <c r="O103" t="s">
        <v>17</v>
      </c>
      <c r="P103" t="s">
        <v>25</v>
      </c>
      <c r="Q103" s="2">
        <v>46221.611805555556</v>
      </c>
      <c r="R103" t="s">
        <v>87</v>
      </c>
      <c r="AM103" s="2"/>
      <c r="AP103" s="8"/>
      <c r="AQ103" s="8"/>
      <c r="AX103" s="7"/>
      <c r="AY103" s="7"/>
    </row>
    <row r="104" spans="1:51" x14ac:dyDescent="0.4">
      <c r="A104">
        <v>11245951</v>
      </c>
      <c r="B104" t="s">
        <v>444</v>
      </c>
      <c r="C104" t="s">
        <v>13</v>
      </c>
      <c r="D104" t="s">
        <v>15</v>
      </c>
      <c r="E104" t="s">
        <v>28</v>
      </c>
      <c r="F104" t="s">
        <v>261</v>
      </c>
      <c r="G104" t="s">
        <v>239</v>
      </c>
      <c r="H104" t="s">
        <v>18</v>
      </c>
      <c r="J104" t="s">
        <v>445</v>
      </c>
      <c r="K104" t="s">
        <v>18</v>
      </c>
      <c r="L104" t="s">
        <v>18</v>
      </c>
      <c r="M104" t="s">
        <v>18</v>
      </c>
      <c r="N104" s="2">
        <v>46220.25</v>
      </c>
      <c r="O104" t="s">
        <v>22</v>
      </c>
      <c r="P104" t="s">
        <v>14</v>
      </c>
      <c r="Q104" s="2">
        <v>46221.611805555556</v>
      </c>
      <c r="R104" t="s">
        <v>87</v>
      </c>
      <c r="AM104" s="2"/>
      <c r="AP104" s="8"/>
      <c r="AQ104" s="8"/>
      <c r="AX104" s="7"/>
      <c r="AY104" s="7"/>
    </row>
    <row r="105" spans="1:51" x14ac:dyDescent="0.4">
      <c r="A105">
        <v>11244151</v>
      </c>
      <c r="B105" t="s">
        <v>344</v>
      </c>
      <c r="C105" t="s">
        <v>13</v>
      </c>
      <c r="D105" t="s">
        <v>15</v>
      </c>
      <c r="E105" t="s">
        <v>21</v>
      </c>
      <c r="F105" t="s">
        <v>270</v>
      </c>
      <c r="G105" t="s">
        <v>345</v>
      </c>
      <c r="H105" t="s">
        <v>18</v>
      </c>
      <c r="J105" t="s">
        <v>346</v>
      </c>
      <c r="K105" t="s">
        <v>18</v>
      </c>
      <c r="L105" t="s">
        <v>29</v>
      </c>
      <c r="M105" t="s">
        <v>18</v>
      </c>
      <c r="N105" s="2">
        <v>46219.784722222219</v>
      </c>
      <c r="O105" t="s">
        <v>17</v>
      </c>
      <c r="P105" t="s">
        <v>14</v>
      </c>
      <c r="Q105" s="2">
        <v>46221.60833333333</v>
      </c>
      <c r="R105" t="s">
        <v>87</v>
      </c>
      <c r="Z105" s="2"/>
      <c r="AM105" s="2"/>
      <c r="AP105" s="8"/>
      <c r="AQ105" s="8"/>
      <c r="AX105" s="7"/>
      <c r="AY105" s="7"/>
    </row>
    <row r="106" spans="1:51" x14ac:dyDescent="0.4">
      <c r="A106">
        <v>11240729</v>
      </c>
      <c r="B106" t="s">
        <v>193</v>
      </c>
      <c r="C106" t="s">
        <v>13</v>
      </c>
      <c r="D106" t="s">
        <v>15</v>
      </c>
      <c r="E106" t="s">
        <v>51</v>
      </c>
      <c r="F106" t="s">
        <v>224</v>
      </c>
      <c r="G106" t="s">
        <v>249</v>
      </c>
      <c r="H106" t="s">
        <v>18</v>
      </c>
      <c r="J106" t="s">
        <v>194</v>
      </c>
      <c r="K106" t="s">
        <v>18</v>
      </c>
      <c r="L106" t="s">
        <v>19</v>
      </c>
      <c r="M106" t="s">
        <v>18</v>
      </c>
      <c r="N106" s="2">
        <v>46219.127083333333</v>
      </c>
      <c r="O106" t="s">
        <v>17</v>
      </c>
      <c r="P106" t="s">
        <v>14</v>
      </c>
      <c r="Q106" s="2">
        <v>46221.60833333333</v>
      </c>
      <c r="R106" t="s">
        <v>87</v>
      </c>
      <c r="Z106" s="2"/>
      <c r="AM106" s="2"/>
      <c r="AP106" s="8"/>
      <c r="AQ106" s="8"/>
      <c r="AX106" s="7"/>
      <c r="AY106" s="7"/>
    </row>
    <row r="107" spans="1:51" x14ac:dyDescent="0.4">
      <c r="A107">
        <v>11244551</v>
      </c>
      <c r="B107" t="s">
        <v>446</v>
      </c>
      <c r="C107" t="s">
        <v>13</v>
      </c>
      <c r="D107" t="s">
        <v>15</v>
      </c>
      <c r="E107" t="s">
        <v>51</v>
      </c>
      <c r="F107" t="s">
        <v>270</v>
      </c>
      <c r="G107" t="s">
        <v>447</v>
      </c>
      <c r="H107" t="s">
        <v>18</v>
      </c>
      <c r="J107" t="s">
        <v>448</v>
      </c>
      <c r="K107" t="s">
        <v>18</v>
      </c>
      <c r="L107" t="s">
        <v>18</v>
      </c>
      <c r="M107" t="s">
        <v>18</v>
      </c>
      <c r="N107" s="2">
        <v>46219.865972222222</v>
      </c>
      <c r="O107" t="s">
        <v>17</v>
      </c>
      <c r="P107" t="s">
        <v>14</v>
      </c>
      <c r="Q107" s="2">
        <v>46221.60833333333</v>
      </c>
      <c r="R107" t="s">
        <v>87</v>
      </c>
      <c r="Z107" s="2"/>
      <c r="AM107" s="2"/>
      <c r="AP107" s="8"/>
      <c r="AQ107" s="8"/>
      <c r="AX107" s="7"/>
      <c r="AY107" s="7"/>
    </row>
    <row r="108" spans="1:51" x14ac:dyDescent="0.4">
      <c r="A108">
        <v>11230051</v>
      </c>
      <c r="B108" t="s">
        <v>170</v>
      </c>
      <c r="C108" t="s">
        <v>13</v>
      </c>
      <c r="D108" t="s">
        <v>15</v>
      </c>
      <c r="E108" t="s">
        <v>16</v>
      </c>
      <c r="F108" t="s">
        <v>281</v>
      </c>
      <c r="G108" t="s">
        <v>290</v>
      </c>
      <c r="H108" t="s">
        <v>18</v>
      </c>
      <c r="J108" t="s">
        <v>171</v>
      </c>
      <c r="K108" t="s">
        <v>18</v>
      </c>
      <c r="L108" t="s">
        <v>18</v>
      </c>
      <c r="M108" t="s">
        <v>18</v>
      </c>
      <c r="N108" s="2">
        <v>46216.69027777778</v>
      </c>
      <c r="O108" t="s">
        <v>17</v>
      </c>
      <c r="P108" t="s">
        <v>25</v>
      </c>
      <c r="Q108" s="2">
        <v>46221.605555555558</v>
      </c>
      <c r="R108" t="s">
        <v>86</v>
      </c>
      <c r="Z108" s="2"/>
      <c r="AM108" s="2"/>
      <c r="AP108" s="8"/>
      <c r="AQ108" s="8"/>
      <c r="AX108" s="7"/>
      <c r="AY108" s="7"/>
    </row>
    <row r="109" spans="1:51" x14ac:dyDescent="0.4">
      <c r="A109">
        <v>11243614</v>
      </c>
      <c r="B109" t="s">
        <v>347</v>
      </c>
      <c r="C109" t="s">
        <v>13</v>
      </c>
      <c r="D109" t="s">
        <v>15</v>
      </c>
      <c r="E109" t="s">
        <v>21</v>
      </c>
      <c r="F109" t="s">
        <v>315</v>
      </c>
      <c r="G109" t="s">
        <v>348</v>
      </c>
      <c r="H109" t="s">
        <v>18</v>
      </c>
      <c r="J109" t="s">
        <v>349</v>
      </c>
      <c r="K109" t="s">
        <v>18</v>
      </c>
      <c r="L109" t="s">
        <v>18</v>
      </c>
      <c r="M109" t="s">
        <v>18</v>
      </c>
      <c r="N109" s="2">
        <v>46219.713888888888</v>
      </c>
      <c r="O109" t="s">
        <v>17</v>
      </c>
      <c r="P109" t="s">
        <v>14</v>
      </c>
      <c r="Q109" s="2">
        <v>46221.604861111111</v>
      </c>
      <c r="R109" t="s">
        <v>87</v>
      </c>
      <c r="Z109" s="2"/>
      <c r="AM109" s="2"/>
      <c r="AP109" s="8"/>
      <c r="AQ109" s="8"/>
      <c r="AX109" s="7"/>
      <c r="AY109" s="7"/>
    </row>
    <row r="110" spans="1:51" x14ac:dyDescent="0.4">
      <c r="A110">
        <v>11241951</v>
      </c>
      <c r="B110" t="s">
        <v>216</v>
      </c>
      <c r="C110" t="s">
        <v>13</v>
      </c>
      <c r="D110" t="s">
        <v>15</v>
      </c>
      <c r="E110" t="s">
        <v>21</v>
      </c>
      <c r="F110" t="s">
        <v>227</v>
      </c>
      <c r="G110" t="s">
        <v>243</v>
      </c>
      <c r="H110" t="s">
        <v>18</v>
      </c>
      <c r="J110" t="s">
        <v>217</v>
      </c>
      <c r="K110" t="s">
        <v>18</v>
      </c>
      <c r="L110" t="s">
        <v>18</v>
      </c>
      <c r="M110" t="s">
        <v>18</v>
      </c>
      <c r="N110" s="2">
        <v>46219.524305555555</v>
      </c>
      <c r="O110" t="s">
        <v>27</v>
      </c>
      <c r="P110" t="s">
        <v>14</v>
      </c>
      <c r="Q110" s="2">
        <v>46221.604861111111</v>
      </c>
      <c r="R110" t="s">
        <v>87</v>
      </c>
      <c r="Z110" s="2"/>
      <c r="AM110" s="2"/>
      <c r="AP110" s="8"/>
      <c r="AQ110" s="8"/>
      <c r="AX110" s="7"/>
      <c r="AY110" s="7"/>
    </row>
    <row r="111" spans="1:51" x14ac:dyDescent="0.4">
      <c r="A111">
        <v>11161431</v>
      </c>
      <c r="B111" t="s">
        <v>62</v>
      </c>
      <c r="C111" t="s">
        <v>13</v>
      </c>
      <c r="D111" t="s">
        <v>15</v>
      </c>
      <c r="E111" t="s">
        <v>16</v>
      </c>
      <c r="F111" t="s">
        <v>281</v>
      </c>
      <c r="G111" t="s">
        <v>296</v>
      </c>
      <c r="H111" t="s">
        <v>18</v>
      </c>
      <c r="J111" t="s">
        <v>63</v>
      </c>
      <c r="K111" t="s">
        <v>18</v>
      </c>
      <c r="L111" t="s">
        <v>18</v>
      </c>
      <c r="M111" t="s">
        <v>18</v>
      </c>
      <c r="N111" s="2">
        <v>46197.613194444442</v>
      </c>
      <c r="O111" t="s">
        <v>33</v>
      </c>
      <c r="P111" t="s">
        <v>25</v>
      </c>
      <c r="Q111" s="2">
        <v>46221.602083333331</v>
      </c>
      <c r="R111" t="s">
        <v>82</v>
      </c>
      <c r="AM111" s="2"/>
      <c r="AP111" s="8"/>
      <c r="AQ111" s="8"/>
      <c r="AX111" s="7"/>
      <c r="AY111" s="7"/>
    </row>
    <row r="112" spans="1:51" x14ac:dyDescent="0.4">
      <c r="A112">
        <v>11241832</v>
      </c>
      <c r="B112" t="s">
        <v>176</v>
      </c>
      <c r="C112" t="s">
        <v>13</v>
      </c>
      <c r="D112" t="s">
        <v>15</v>
      </c>
      <c r="E112" t="s">
        <v>16</v>
      </c>
      <c r="F112" t="s">
        <v>240</v>
      </c>
      <c r="G112" t="s">
        <v>242</v>
      </c>
      <c r="H112" t="s">
        <v>18</v>
      </c>
      <c r="J112" t="s">
        <v>177</v>
      </c>
      <c r="K112" t="s">
        <v>18</v>
      </c>
      <c r="L112" t="s">
        <v>18</v>
      </c>
      <c r="M112" t="s">
        <v>18</v>
      </c>
      <c r="N112" s="2">
        <v>46219.49722222222</v>
      </c>
      <c r="O112" t="s">
        <v>17</v>
      </c>
      <c r="P112" t="s">
        <v>14</v>
      </c>
      <c r="Q112" s="2">
        <v>46221.601388888892</v>
      </c>
      <c r="R112" t="s">
        <v>87</v>
      </c>
      <c r="Z112" s="2"/>
      <c r="AM112" s="2"/>
      <c r="AP112" s="8"/>
      <c r="AQ112" s="8"/>
      <c r="AX112" s="7"/>
      <c r="AY112" s="7"/>
    </row>
    <row r="113" spans="1:51" x14ac:dyDescent="0.4">
      <c r="A113">
        <v>11239591</v>
      </c>
      <c r="B113" t="s">
        <v>207</v>
      </c>
      <c r="C113" t="s">
        <v>13</v>
      </c>
      <c r="D113" t="s">
        <v>15</v>
      </c>
      <c r="E113" t="s">
        <v>16</v>
      </c>
      <c r="F113" t="s">
        <v>283</v>
      </c>
      <c r="G113" t="s">
        <v>287</v>
      </c>
      <c r="H113" t="s">
        <v>18</v>
      </c>
      <c r="J113" t="s">
        <v>208</v>
      </c>
      <c r="K113" t="s">
        <v>18</v>
      </c>
      <c r="L113" t="s">
        <v>18</v>
      </c>
      <c r="M113" t="s">
        <v>18</v>
      </c>
      <c r="N113" s="2">
        <v>46218.827777777777</v>
      </c>
      <c r="O113" t="s">
        <v>17</v>
      </c>
      <c r="P113" t="s">
        <v>25</v>
      </c>
      <c r="Q113" s="2">
        <v>46221.601388888892</v>
      </c>
      <c r="R113" t="s">
        <v>87</v>
      </c>
      <c r="Z113" s="2"/>
      <c r="AM113" s="2"/>
      <c r="AP113" s="8"/>
      <c r="AQ113" s="8"/>
      <c r="AX113" s="7"/>
      <c r="AY113" s="7"/>
    </row>
    <row r="114" spans="1:51" x14ac:dyDescent="0.4">
      <c r="A114">
        <v>11239673</v>
      </c>
      <c r="B114" t="s">
        <v>205</v>
      </c>
      <c r="C114" t="s">
        <v>13</v>
      </c>
      <c r="D114" t="s">
        <v>15</v>
      </c>
      <c r="E114" t="s">
        <v>16</v>
      </c>
      <c r="F114" t="s">
        <v>283</v>
      </c>
      <c r="G114" t="s">
        <v>286</v>
      </c>
      <c r="H114" t="s">
        <v>18</v>
      </c>
      <c r="J114" t="s">
        <v>206</v>
      </c>
      <c r="K114" t="s">
        <v>18</v>
      </c>
      <c r="L114" t="s">
        <v>18</v>
      </c>
      <c r="M114" t="s">
        <v>18</v>
      </c>
      <c r="N114" s="2">
        <v>46218.840277777781</v>
      </c>
      <c r="O114" t="s">
        <v>17</v>
      </c>
      <c r="P114" t="s">
        <v>25</v>
      </c>
      <c r="Q114" s="2">
        <v>46221.601388888892</v>
      </c>
      <c r="R114" t="s">
        <v>87</v>
      </c>
      <c r="AM114" s="2"/>
      <c r="AP114" s="8"/>
      <c r="AQ114" s="8"/>
      <c r="AX114" s="7"/>
      <c r="AY114" s="7"/>
    </row>
    <row r="115" spans="1:51" x14ac:dyDescent="0.4">
      <c r="A115">
        <v>11242124</v>
      </c>
      <c r="B115" t="s">
        <v>214</v>
      </c>
      <c r="C115" t="s">
        <v>13</v>
      </c>
      <c r="D115" t="s">
        <v>15</v>
      </c>
      <c r="E115" t="s">
        <v>140</v>
      </c>
      <c r="F115" t="s">
        <v>236</v>
      </c>
      <c r="G115" t="s">
        <v>237</v>
      </c>
      <c r="H115" t="s">
        <v>18</v>
      </c>
      <c r="J115" t="s">
        <v>215</v>
      </c>
      <c r="K115" t="s">
        <v>18</v>
      </c>
      <c r="L115" t="s">
        <v>18</v>
      </c>
      <c r="M115" t="s">
        <v>18</v>
      </c>
      <c r="N115" s="2">
        <v>46219.554861111108</v>
      </c>
      <c r="O115" t="s">
        <v>17</v>
      </c>
      <c r="P115" t="s">
        <v>25</v>
      </c>
      <c r="Q115" s="2">
        <v>46221.601388888892</v>
      </c>
      <c r="R115" t="s">
        <v>87</v>
      </c>
      <c r="Z115" s="2"/>
      <c r="AM115" s="2"/>
      <c r="AP115" s="8"/>
      <c r="AQ115" s="8"/>
      <c r="AX115" s="7"/>
      <c r="AY115" s="7"/>
    </row>
    <row r="116" spans="1:51" x14ac:dyDescent="0.4">
      <c r="A116">
        <v>11072534</v>
      </c>
      <c r="B116" t="s">
        <v>24</v>
      </c>
      <c r="C116" t="s">
        <v>13</v>
      </c>
      <c r="D116" t="s">
        <v>15</v>
      </c>
      <c r="E116" t="s">
        <v>21</v>
      </c>
      <c r="F116" t="s">
        <v>224</v>
      </c>
      <c r="G116" t="s">
        <v>249</v>
      </c>
      <c r="H116" t="s">
        <v>18</v>
      </c>
      <c r="J116" t="s">
        <v>182</v>
      </c>
      <c r="K116" t="s">
        <v>18</v>
      </c>
      <c r="L116" t="s">
        <v>18</v>
      </c>
      <c r="M116" t="s">
        <v>18</v>
      </c>
      <c r="N116" s="2">
        <v>46175.211111111108</v>
      </c>
      <c r="O116" t="s">
        <v>17</v>
      </c>
      <c r="P116" t="s">
        <v>25</v>
      </c>
      <c r="Q116" s="2">
        <v>46221.598611111112</v>
      </c>
      <c r="R116" t="s">
        <v>83</v>
      </c>
      <c r="AM116" s="2"/>
      <c r="AP116" s="8"/>
      <c r="AQ116" s="8"/>
      <c r="AX116" s="7"/>
      <c r="AY116" s="7"/>
    </row>
    <row r="117" spans="1:51" x14ac:dyDescent="0.4">
      <c r="A117">
        <v>11239577</v>
      </c>
      <c r="B117" t="s">
        <v>197</v>
      </c>
      <c r="C117" t="s">
        <v>13</v>
      </c>
      <c r="D117" t="s">
        <v>15</v>
      </c>
      <c r="E117" t="s">
        <v>21</v>
      </c>
      <c r="F117" t="s">
        <v>268</v>
      </c>
      <c r="G117" t="s">
        <v>269</v>
      </c>
      <c r="H117" t="s">
        <v>18</v>
      </c>
      <c r="J117" t="s">
        <v>198</v>
      </c>
      <c r="K117" t="s">
        <v>18</v>
      </c>
      <c r="L117" t="s">
        <v>18</v>
      </c>
      <c r="M117" t="s">
        <v>18</v>
      </c>
      <c r="N117" s="2">
        <v>46218.824999999997</v>
      </c>
      <c r="O117" t="s">
        <v>17</v>
      </c>
      <c r="P117" t="s">
        <v>14</v>
      </c>
      <c r="Q117" s="2">
        <v>46221.595138888886</v>
      </c>
      <c r="R117" t="s">
        <v>87</v>
      </c>
      <c r="AM117" s="2"/>
      <c r="AP117" s="8"/>
      <c r="AQ117" s="8"/>
      <c r="AX117" s="7"/>
      <c r="AY117" s="7"/>
    </row>
    <row r="118" spans="1:51" x14ac:dyDescent="0.4">
      <c r="A118">
        <v>11230682</v>
      </c>
      <c r="B118" t="s">
        <v>147</v>
      </c>
      <c r="C118" t="s">
        <v>13</v>
      </c>
      <c r="D118" t="s">
        <v>15</v>
      </c>
      <c r="E118" t="s">
        <v>21</v>
      </c>
      <c r="F118" t="s">
        <v>227</v>
      </c>
      <c r="G118" t="s">
        <v>272</v>
      </c>
      <c r="H118" t="s">
        <v>18</v>
      </c>
      <c r="J118" t="s">
        <v>148</v>
      </c>
      <c r="K118" t="s">
        <v>18</v>
      </c>
      <c r="L118" t="s">
        <v>18</v>
      </c>
      <c r="M118" t="s">
        <v>18</v>
      </c>
      <c r="N118" s="2">
        <v>46216.80972222222</v>
      </c>
      <c r="O118" t="s">
        <v>17</v>
      </c>
      <c r="P118" t="s">
        <v>14</v>
      </c>
      <c r="Q118" s="2">
        <v>46221.595138888886</v>
      </c>
      <c r="R118" t="s">
        <v>86</v>
      </c>
      <c r="AM118" s="2"/>
      <c r="AP118" s="8"/>
      <c r="AQ118" s="8"/>
      <c r="AX118" s="7"/>
      <c r="AY118" s="7"/>
    </row>
    <row r="119" spans="1:51" x14ac:dyDescent="0.4">
      <c r="A119">
        <v>11239716</v>
      </c>
      <c r="B119" t="s">
        <v>201</v>
      </c>
      <c r="C119" t="s">
        <v>13</v>
      </c>
      <c r="D119" t="s">
        <v>15</v>
      </c>
      <c r="E119" t="s">
        <v>21</v>
      </c>
      <c r="F119" t="s">
        <v>268</v>
      </c>
      <c r="G119" t="s">
        <v>230</v>
      </c>
      <c r="H119" t="s">
        <v>26</v>
      </c>
      <c r="J119" t="s">
        <v>202</v>
      </c>
      <c r="K119" t="s">
        <v>26</v>
      </c>
      <c r="L119" t="s">
        <v>26</v>
      </c>
      <c r="M119" t="s">
        <v>26</v>
      </c>
      <c r="N119" s="2">
        <v>46218.847916666666</v>
      </c>
      <c r="O119" t="s">
        <v>17</v>
      </c>
      <c r="P119" t="s">
        <v>14</v>
      </c>
      <c r="Q119" s="2">
        <v>46221.594444444447</v>
      </c>
      <c r="R119" t="s">
        <v>87</v>
      </c>
      <c r="AM119" s="2"/>
      <c r="AP119" s="8"/>
      <c r="AQ119" s="8"/>
      <c r="AX119" s="7"/>
      <c r="AY119" s="7"/>
    </row>
    <row r="120" spans="1:51" x14ac:dyDescent="0.4">
      <c r="A120">
        <v>11239721</v>
      </c>
      <c r="B120" t="s">
        <v>203</v>
      </c>
      <c r="C120" t="s">
        <v>13</v>
      </c>
      <c r="D120" t="s">
        <v>15</v>
      </c>
      <c r="E120" t="s">
        <v>21</v>
      </c>
      <c r="F120" t="s">
        <v>246</v>
      </c>
      <c r="G120" t="s">
        <v>279</v>
      </c>
      <c r="H120" t="s">
        <v>18</v>
      </c>
      <c r="J120" t="s">
        <v>204</v>
      </c>
      <c r="K120" t="s">
        <v>18</v>
      </c>
      <c r="L120" t="s">
        <v>18</v>
      </c>
      <c r="M120" t="s">
        <v>18</v>
      </c>
      <c r="N120" s="2">
        <v>46218.848611111112</v>
      </c>
      <c r="O120" t="s">
        <v>17</v>
      </c>
      <c r="P120" t="s">
        <v>14</v>
      </c>
      <c r="Q120" s="2">
        <v>46221.594444444447</v>
      </c>
      <c r="R120" t="s">
        <v>87</v>
      </c>
      <c r="AM120" s="2"/>
      <c r="AP120" s="8"/>
      <c r="AQ120" s="8"/>
      <c r="AX120" s="7"/>
      <c r="AY120" s="7"/>
    </row>
    <row r="121" spans="1:51" x14ac:dyDescent="0.4">
      <c r="A121">
        <v>11237655</v>
      </c>
      <c r="B121" t="s">
        <v>71</v>
      </c>
      <c r="C121" t="s">
        <v>13</v>
      </c>
      <c r="D121" t="s">
        <v>15</v>
      </c>
      <c r="E121" t="s">
        <v>21</v>
      </c>
      <c r="F121" t="s">
        <v>280</v>
      </c>
      <c r="G121" t="s">
        <v>297</v>
      </c>
      <c r="H121" t="s">
        <v>18</v>
      </c>
      <c r="J121" t="s">
        <v>72</v>
      </c>
      <c r="K121" t="s">
        <v>18</v>
      </c>
      <c r="L121" t="s">
        <v>18</v>
      </c>
      <c r="M121" t="s">
        <v>18</v>
      </c>
      <c r="N121" s="2">
        <v>46218.538194444445</v>
      </c>
      <c r="O121" t="s">
        <v>27</v>
      </c>
      <c r="P121" t="s">
        <v>14</v>
      </c>
      <c r="Q121" s="2">
        <v>46221.587500000001</v>
      </c>
      <c r="R121" t="s">
        <v>86</v>
      </c>
      <c r="AM121" s="2"/>
      <c r="AP121" s="8"/>
      <c r="AQ121" s="8"/>
      <c r="AX121" s="7"/>
      <c r="AY121" s="7"/>
    </row>
    <row r="122" spans="1:51" x14ac:dyDescent="0.4">
      <c r="A122">
        <v>11170762</v>
      </c>
      <c r="B122" t="s">
        <v>151</v>
      </c>
      <c r="C122" t="s">
        <v>13</v>
      </c>
      <c r="D122" t="s">
        <v>15</v>
      </c>
      <c r="E122" t="s">
        <v>21</v>
      </c>
      <c r="F122" t="s">
        <v>291</v>
      </c>
      <c r="G122" t="s">
        <v>299</v>
      </c>
      <c r="H122" t="s">
        <v>18</v>
      </c>
      <c r="J122" t="s">
        <v>152</v>
      </c>
      <c r="K122" t="s">
        <v>18</v>
      </c>
      <c r="L122" t="s">
        <v>18</v>
      </c>
      <c r="M122" t="s">
        <v>18</v>
      </c>
      <c r="N122" s="2">
        <v>46199.911111111112</v>
      </c>
      <c r="O122" t="s">
        <v>17</v>
      </c>
      <c r="P122" t="s">
        <v>25</v>
      </c>
      <c r="Q122" s="2">
        <v>46221.584722222222</v>
      </c>
      <c r="R122" t="s">
        <v>82</v>
      </c>
      <c r="AM122" s="2"/>
      <c r="AP122" s="8"/>
      <c r="AQ122" s="8"/>
      <c r="AX122" s="7"/>
      <c r="AY122" s="7"/>
    </row>
    <row r="123" spans="1:51" x14ac:dyDescent="0.4">
      <c r="A123">
        <v>11234901</v>
      </c>
      <c r="B123" t="s">
        <v>157</v>
      </c>
      <c r="C123" t="s">
        <v>13</v>
      </c>
      <c r="D123" t="s">
        <v>15</v>
      </c>
      <c r="E123" t="s">
        <v>21</v>
      </c>
      <c r="F123" t="s">
        <v>232</v>
      </c>
      <c r="G123" t="s">
        <v>301</v>
      </c>
      <c r="H123" t="s">
        <v>18</v>
      </c>
      <c r="J123" t="s">
        <v>158</v>
      </c>
      <c r="K123" t="s">
        <v>18</v>
      </c>
      <c r="L123" t="s">
        <v>18</v>
      </c>
      <c r="M123" t="s">
        <v>18</v>
      </c>
      <c r="N123" s="2">
        <v>46217.819444444445</v>
      </c>
      <c r="O123" t="s">
        <v>17</v>
      </c>
      <c r="P123" t="s">
        <v>25</v>
      </c>
      <c r="Q123" s="2">
        <v>46221.584027777775</v>
      </c>
      <c r="R123" t="s">
        <v>86</v>
      </c>
      <c r="Z123" s="2"/>
      <c r="AM123" s="2"/>
      <c r="AP123" s="8"/>
      <c r="AQ123" s="8"/>
      <c r="AX123" s="7"/>
      <c r="AY123" s="7"/>
    </row>
    <row r="124" spans="1:51" x14ac:dyDescent="0.4">
      <c r="A124">
        <v>11232842</v>
      </c>
      <c r="B124" t="s">
        <v>138</v>
      </c>
      <c r="C124" t="s">
        <v>13</v>
      </c>
      <c r="D124" t="s">
        <v>15</v>
      </c>
      <c r="E124" t="s">
        <v>21</v>
      </c>
      <c r="F124" t="s">
        <v>246</v>
      </c>
      <c r="G124" t="s">
        <v>308</v>
      </c>
      <c r="H124" t="s">
        <v>18</v>
      </c>
      <c r="J124" t="s">
        <v>139</v>
      </c>
      <c r="K124" t="s">
        <v>18</v>
      </c>
      <c r="L124" t="s">
        <v>18</v>
      </c>
      <c r="M124" t="s">
        <v>18</v>
      </c>
      <c r="N124" s="2">
        <v>46217.456944444442</v>
      </c>
      <c r="O124" t="s">
        <v>17</v>
      </c>
      <c r="P124" t="s">
        <v>25</v>
      </c>
      <c r="Q124" s="2">
        <v>46221.573611111111</v>
      </c>
      <c r="R124" t="s">
        <v>86</v>
      </c>
      <c r="Z124" s="2"/>
      <c r="AM124" s="2"/>
      <c r="AP124" s="8"/>
      <c r="AQ124" s="8"/>
      <c r="AX124" s="7"/>
      <c r="AY124" s="7"/>
    </row>
    <row r="125" spans="1:51" x14ac:dyDescent="0.4">
      <c r="A125">
        <v>11229255</v>
      </c>
      <c r="B125" t="s">
        <v>141</v>
      </c>
      <c r="C125" t="s">
        <v>13</v>
      </c>
      <c r="D125" t="s">
        <v>15</v>
      </c>
      <c r="E125" t="s">
        <v>21</v>
      </c>
      <c r="F125" t="s">
        <v>291</v>
      </c>
      <c r="G125" t="s">
        <v>310</v>
      </c>
      <c r="H125" t="s">
        <v>18</v>
      </c>
      <c r="J125" t="s">
        <v>142</v>
      </c>
      <c r="K125" t="s">
        <v>18</v>
      </c>
      <c r="L125" t="s">
        <v>18</v>
      </c>
      <c r="M125" t="s">
        <v>18</v>
      </c>
      <c r="N125" s="2">
        <v>46216.560416666667</v>
      </c>
      <c r="O125" t="s">
        <v>17</v>
      </c>
      <c r="P125" t="s">
        <v>25</v>
      </c>
      <c r="Q125" s="2">
        <v>46221.573611111111</v>
      </c>
      <c r="R125" t="s">
        <v>86</v>
      </c>
      <c r="Z125" s="2"/>
      <c r="AM125" s="2"/>
      <c r="AP125" s="8"/>
      <c r="AQ125" s="8"/>
      <c r="AX125" s="7"/>
      <c r="AY125" s="7"/>
    </row>
    <row r="126" spans="1:51" x14ac:dyDescent="0.4">
      <c r="A126">
        <v>11210663</v>
      </c>
      <c r="B126" t="s">
        <v>104</v>
      </c>
      <c r="C126" t="s">
        <v>13</v>
      </c>
      <c r="D126" t="s">
        <v>15</v>
      </c>
      <c r="E126" t="s">
        <v>21</v>
      </c>
      <c r="F126" t="s">
        <v>232</v>
      </c>
      <c r="G126" t="s">
        <v>266</v>
      </c>
      <c r="H126" t="s">
        <v>18</v>
      </c>
      <c r="J126" t="s">
        <v>105</v>
      </c>
      <c r="K126" t="s">
        <v>18</v>
      </c>
      <c r="L126" t="s">
        <v>18</v>
      </c>
      <c r="M126" t="s">
        <v>18</v>
      </c>
      <c r="N126" s="2">
        <v>46210.818749999999</v>
      </c>
      <c r="O126" t="s">
        <v>17</v>
      </c>
      <c r="P126" t="s">
        <v>25</v>
      </c>
      <c r="Q126" s="2">
        <v>46221.102083333331</v>
      </c>
      <c r="R126" t="s">
        <v>88</v>
      </c>
      <c r="Z126" s="2"/>
      <c r="AM126" s="2"/>
      <c r="AP126" s="8"/>
      <c r="AQ126" s="8"/>
      <c r="AX126" s="7"/>
      <c r="AY126" s="7"/>
    </row>
    <row r="127" spans="1:51" x14ac:dyDescent="0.4">
      <c r="A127">
        <v>11206490</v>
      </c>
      <c r="B127" t="s">
        <v>64</v>
      </c>
      <c r="C127" t="s">
        <v>13</v>
      </c>
      <c r="D127" t="s">
        <v>15</v>
      </c>
      <c r="E127" t="s">
        <v>21</v>
      </c>
      <c r="F127" t="s">
        <v>232</v>
      </c>
      <c r="G127" t="s">
        <v>262</v>
      </c>
      <c r="H127" t="s">
        <v>18</v>
      </c>
      <c r="J127" t="s">
        <v>95</v>
      </c>
      <c r="K127" t="s">
        <v>18</v>
      </c>
      <c r="L127" t="s">
        <v>18</v>
      </c>
      <c r="M127" t="s">
        <v>18</v>
      </c>
      <c r="N127" s="2">
        <v>46210.040277777778</v>
      </c>
      <c r="O127" t="s">
        <v>17</v>
      </c>
      <c r="P127" t="s">
        <v>25</v>
      </c>
      <c r="Q127" s="2">
        <v>46221.09652777778</v>
      </c>
      <c r="R127" t="s">
        <v>88</v>
      </c>
      <c r="AM127" s="2"/>
      <c r="AP127" s="8"/>
      <c r="AQ127" s="8"/>
      <c r="AX127" s="7"/>
      <c r="AY127" s="7"/>
    </row>
    <row r="128" spans="1:51" x14ac:dyDescent="0.4">
      <c r="A128">
        <v>11205893</v>
      </c>
      <c r="B128" t="s">
        <v>100</v>
      </c>
      <c r="C128" t="s">
        <v>13</v>
      </c>
      <c r="D128" t="s">
        <v>20</v>
      </c>
      <c r="E128" t="s">
        <v>21</v>
      </c>
      <c r="F128" t="s">
        <v>270</v>
      </c>
      <c r="G128" t="s">
        <v>276</v>
      </c>
      <c r="H128" t="s">
        <v>18</v>
      </c>
      <c r="J128" t="s">
        <v>101</v>
      </c>
      <c r="K128" t="s">
        <v>18</v>
      </c>
      <c r="L128" t="s">
        <v>18</v>
      </c>
      <c r="M128" t="s">
        <v>18</v>
      </c>
      <c r="N128" s="2">
        <v>46209.849305555559</v>
      </c>
      <c r="O128" t="s">
        <v>27</v>
      </c>
      <c r="P128" t="s">
        <v>14</v>
      </c>
      <c r="Q128" s="2">
        <v>46220.855555555558</v>
      </c>
      <c r="R128" t="s">
        <v>88</v>
      </c>
      <c r="Z128" s="2"/>
      <c r="AM128" s="2"/>
      <c r="AP128" s="8"/>
      <c r="AQ128" s="8"/>
      <c r="AX128" s="7"/>
      <c r="AY128" s="7"/>
    </row>
    <row r="129" spans="1:51" x14ac:dyDescent="0.4">
      <c r="A129">
        <v>11189993</v>
      </c>
      <c r="B129" t="s">
        <v>77</v>
      </c>
      <c r="C129" t="s">
        <v>13</v>
      </c>
      <c r="D129" t="s">
        <v>15</v>
      </c>
      <c r="E129" t="s">
        <v>16</v>
      </c>
      <c r="F129" t="s">
        <v>281</v>
      </c>
      <c r="G129" t="s">
        <v>282</v>
      </c>
      <c r="H129" t="s">
        <v>26</v>
      </c>
      <c r="J129" t="s">
        <v>78</v>
      </c>
      <c r="K129" t="s">
        <v>26</v>
      </c>
      <c r="L129" t="s">
        <v>26</v>
      </c>
      <c r="M129" t="s">
        <v>26</v>
      </c>
      <c r="N129" s="2">
        <v>46205.103472222225</v>
      </c>
      <c r="O129" t="s">
        <v>17</v>
      </c>
      <c r="P129" t="s">
        <v>14</v>
      </c>
      <c r="Q129" s="2">
        <v>46220.782638888886</v>
      </c>
      <c r="R129" t="s">
        <v>82</v>
      </c>
      <c r="AM129" s="2"/>
      <c r="AP129" s="8"/>
      <c r="AQ129" s="8"/>
      <c r="AX129" s="7"/>
      <c r="AY129" s="7"/>
    </row>
    <row r="130" spans="1:51" x14ac:dyDescent="0.4">
      <c r="A130">
        <v>11223612</v>
      </c>
      <c r="B130" t="s">
        <v>327</v>
      </c>
      <c r="C130" t="s">
        <v>13</v>
      </c>
      <c r="D130" t="s">
        <v>15</v>
      </c>
      <c r="E130" t="s">
        <v>21</v>
      </c>
      <c r="F130" t="s">
        <v>263</v>
      </c>
      <c r="G130" t="s">
        <v>298</v>
      </c>
      <c r="H130" t="s">
        <v>18</v>
      </c>
      <c r="J130" t="s">
        <v>328</v>
      </c>
      <c r="K130" t="s">
        <v>18</v>
      </c>
      <c r="L130" t="s">
        <v>18</v>
      </c>
      <c r="M130" t="s">
        <v>18</v>
      </c>
      <c r="N130" s="2">
        <v>46214.07708333333</v>
      </c>
      <c r="O130" t="s">
        <v>17</v>
      </c>
      <c r="P130" t="s">
        <v>14</v>
      </c>
      <c r="Q130" s="2">
        <v>46220.726388888892</v>
      </c>
      <c r="R130" t="s">
        <v>86</v>
      </c>
      <c r="Z130" s="2"/>
      <c r="AM130" s="2"/>
      <c r="AP130" s="8"/>
      <c r="AQ130" s="8"/>
      <c r="AX130" s="7"/>
      <c r="AY130" s="7"/>
    </row>
    <row r="131" spans="1:51" x14ac:dyDescent="0.4">
      <c r="A131">
        <v>11057913</v>
      </c>
      <c r="B131" t="s">
        <v>12</v>
      </c>
      <c r="C131" t="s">
        <v>13</v>
      </c>
      <c r="D131" t="s">
        <v>15</v>
      </c>
      <c r="E131" t="s">
        <v>51</v>
      </c>
      <c r="F131" t="s">
        <v>270</v>
      </c>
      <c r="G131" t="s">
        <v>455</v>
      </c>
      <c r="H131" t="s">
        <v>18</v>
      </c>
      <c r="J131" t="s">
        <v>456</v>
      </c>
      <c r="K131" t="s">
        <v>18</v>
      </c>
      <c r="L131" t="s">
        <v>18</v>
      </c>
      <c r="M131" t="s">
        <v>18</v>
      </c>
      <c r="N131" s="2">
        <v>46171.248611111114</v>
      </c>
      <c r="O131" t="s">
        <v>17</v>
      </c>
      <c r="P131" t="s">
        <v>14</v>
      </c>
      <c r="Q131" s="2">
        <v>46220.716666666667</v>
      </c>
      <c r="R131" t="s">
        <v>83</v>
      </c>
      <c r="Z131" s="2"/>
      <c r="AM131" s="2"/>
      <c r="AP131" s="8"/>
      <c r="AQ131" s="8"/>
      <c r="AX131" s="7"/>
      <c r="AY131" s="7"/>
    </row>
    <row r="132" spans="1:51" x14ac:dyDescent="0.4">
      <c r="A132">
        <v>11197775</v>
      </c>
      <c r="B132" t="s">
        <v>92</v>
      </c>
      <c r="C132" t="s">
        <v>13</v>
      </c>
      <c r="D132" t="s">
        <v>20</v>
      </c>
      <c r="E132" t="s">
        <v>51</v>
      </c>
      <c r="F132" t="s">
        <v>270</v>
      </c>
      <c r="G132" t="s">
        <v>278</v>
      </c>
      <c r="H132" t="s">
        <v>18</v>
      </c>
      <c r="J132" t="s">
        <v>93</v>
      </c>
      <c r="K132" t="s">
        <v>26</v>
      </c>
      <c r="L132" t="s">
        <v>26</v>
      </c>
      <c r="M132" t="s">
        <v>26</v>
      </c>
      <c r="N132" s="2">
        <v>46206.832638888889</v>
      </c>
      <c r="O132" t="s">
        <v>27</v>
      </c>
      <c r="P132" t="s">
        <v>14</v>
      </c>
      <c r="Q132" s="2">
        <v>46220.663888888892</v>
      </c>
      <c r="R132" t="s">
        <v>82</v>
      </c>
      <c r="Z132" s="2"/>
      <c r="AM132" s="2"/>
      <c r="AP132" s="8"/>
      <c r="AQ132" s="8"/>
      <c r="AX132" s="7"/>
      <c r="AY132" s="7"/>
    </row>
    <row r="133" spans="1:51" x14ac:dyDescent="0.4">
      <c r="A133">
        <v>11221080</v>
      </c>
      <c r="B133" t="s">
        <v>183</v>
      </c>
      <c r="C133" t="s">
        <v>13</v>
      </c>
      <c r="D133" t="s">
        <v>15</v>
      </c>
      <c r="E133" t="s">
        <v>45</v>
      </c>
      <c r="F133" t="s">
        <v>234</v>
      </c>
      <c r="G133" t="s">
        <v>235</v>
      </c>
      <c r="H133" t="s">
        <v>18</v>
      </c>
      <c r="J133" t="s">
        <v>184</v>
      </c>
      <c r="K133" t="s">
        <v>18</v>
      </c>
      <c r="L133" t="s">
        <v>18</v>
      </c>
      <c r="M133" t="s">
        <v>18</v>
      </c>
      <c r="N133" s="2">
        <v>46213.377083333333</v>
      </c>
      <c r="O133" t="s">
        <v>17</v>
      </c>
      <c r="P133" t="s">
        <v>25</v>
      </c>
      <c r="Q133" s="2">
        <v>46220.54583333333</v>
      </c>
      <c r="R133" t="s">
        <v>88</v>
      </c>
      <c r="AM133" s="2"/>
      <c r="AP133" s="8"/>
      <c r="AQ133" s="8"/>
      <c r="AX133" s="7"/>
      <c r="AY133" s="7"/>
    </row>
    <row r="134" spans="1:51" x14ac:dyDescent="0.4">
      <c r="A134">
        <v>11223030</v>
      </c>
      <c r="B134" t="s">
        <v>163</v>
      </c>
      <c r="C134" t="s">
        <v>13</v>
      </c>
      <c r="D134" t="s">
        <v>20</v>
      </c>
      <c r="E134" t="s">
        <v>21</v>
      </c>
      <c r="F134" t="s">
        <v>263</v>
      </c>
      <c r="G134" t="s">
        <v>277</v>
      </c>
      <c r="H134" t="s">
        <v>18</v>
      </c>
      <c r="J134" t="s">
        <v>164</v>
      </c>
      <c r="K134" t="s">
        <v>18</v>
      </c>
      <c r="L134" t="s">
        <v>29</v>
      </c>
      <c r="M134" t="s">
        <v>18</v>
      </c>
      <c r="N134" s="2">
        <v>46213.861805555556</v>
      </c>
      <c r="O134" t="s">
        <v>47</v>
      </c>
      <c r="P134" t="s">
        <v>14</v>
      </c>
      <c r="Q134" s="2">
        <v>46220.534722222219</v>
      </c>
      <c r="R134" t="s">
        <v>86</v>
      </c>
      <c r="Z134" s="2"/>
      <c r="AM134" s="2"/>
      <c r="AP134" s="8"/>
      <c r="AQ134" s="8"/>
      <c r="AX134" s="7"/>
      <c r="AY134" s="7"/>
    </row>
    <row r="135" spans="1:51" x14ac:dyDescent="0.4">
      <c r="A135">
        <v>11216444</v>
      </c>
      <c r="B135" t="s">
        <v>458</v>
      </c>
      <c r="C135" t="s">
        <v>13</v>
      </c>
      <c r="D135" t="s">
        <v>15</v>
      </c>
      <c r="E135" t="s">
        <v>21</v>
      </c>
      <c r="F135" t="s">
        <v>246</v>
      </c>
      <c r="G135" t="s">
        <v>459</v>
      </c>
      <c r="H135" t="s">
        <v>26</v>
      </c>
      <c r="J135" t="s">
        <v>460</v>
      </c>
      <c r="K135" t="s">
        <v>26</v>
      </c>
      <c r="L135" t="s">
        <v>26</v>
      </c>
      <c r="M135" t="s">
        <v>26</v>
      </c>
      <c r="N135" s="2">
        <v>46212.21875</v>
      </c>
      <c r="O135" t="s">
        <v>17</v>
      </c>
      <c r="P135" t="s">
        <v>14</v>
      </c>
      <c r="Q135" s="2">
        <v>46220.497916666667</v>
      </c>
      <c r="R135" t="s">
        <v>88</v>
      </c>
      <c r="AM135" s="2"/>
      <c r="AP135" s="8"/>
      <c r="AQ135" s="8"/>
      <c r="AX135" s="7"/>
      <c r="AY135" s="7"/>
    </row>
    <row r="136" spans="1:51" x14ac:dyDescent="0.4">
      <c r="A136">
        <v>11209679</v>
      </c>
      <c r="B136" t="s">
        <v>110</v>
      </c>
      <c r="C136" t="s">
        <v>13</v>
      </c>
      <c r="D136" t="s">
        <v>15</v>
      </c>
      <c r="E136" t="s">
        <v>45</v>
      </c>
      <c r="F136" t="s">
        <v>224</v>
      </c>
      <c r="G136" t="s">
        <v>293</v>
      </c>
      <c r="H136" t="s">
        <v>18</v>
      </c>
      <c r="J136" t="s">
        <v>111</v>
      </c>
      <c r="K136" t="s">
        <v>18</v>
      </c>
      <c r="L136" t="s">
        <v>19</v>
      </c>
      <c r="M136" t="s">
        <v>18</v>
      </c>
      <c r="N136" s="2">
        <v>46210.757638888892</v>
      </c>
      <c r="O136" t="s">
        <v>46</v>
      </c>
      <c r="P136" t="s">
        <v>14</v>
      </c>
      <c r="Q136" s="2">
        <v>46220.490972222222</v>
      </c>
      <c r="R136" t="s">
        <v>88</v>
      </c>
      <c r="AM136" s="2"/>
      <c r="AP136" s="8"/>
      <c r="AQ136" s="8"/>
      <c r="AX136" s="7"/>
      <c r="AY136" s="7"/>
    </row>
    <row r="137" spans="1:51" x14ac:dyDescent="0.4">
      <c r="A137">
        <v>11206579</v>
      </c>
      <c r="B137" t="s">
        <v>96</v>
      </c>
      <c r="C137" t="s">
        <v>13</v>
      </c>
      <c r="D137" t="s">
        <v>20</v>
      </c>
      <c r="E137" t="s">
        <v>21</v>
      </c>
      <c r="F137" t="s">
        <v>224</v>
      </c>
      <c r="G137" t="s">
        <v>306</v>
      </c>
      <c r="H137" t="s">
        <v>18</v>
      </c>
      <c r="J137" t="s">
        <v>97</v>
      </c>
      <c r="K137" t="s">
        <v>18</v>
      </c>
      <c r="L137" t="s">
        <v>19</v>
      </c>
      <c r="M137" t="s">
        <v>18</v>
      </c>
      <c r="N137" s="2">
        <v>46210.068055555559</v>
      </c>
      <c r="O137" t="s">
        <v>17</v>
      </c>
      <c r="P137" t="s">
        <v>14</v>
      </c>
      <c r="Q137" s="2">
        <v>46220.487500000003</v>
      </c>
      <c r="R137" t="s">
        <v>88</v>
      </c>
      <c r="Z137" s="2"/>
      <c r="AM137" s="2"/>
      <c r="AP137" s="8"/>
      <c r="AQ137" s="8"/>
      <c r="AX137" s="7"/>
      <c r="AY137" s="7"/>
    </row>
    <row r="138" spans="1:51" x14ac:dyDescent="0.4">
      <c r="A138">
        <v>11206471</v>
      </c>
      <c r="B138" t="s">
        <v>64</v>
      </c>
      <c r="C138" t="s">
        <v>13</v>
      </c>
      <c r="D138" t="s">
        <v>15</v>
      </c>
      <c r="E138" t="s">
        <v>21</v>
      </c>
      <c r="F138" t="s">
        <v>232</v>
      </c>
      <c r="G138" t="s">
        <v>262</v>
      </c>
      <c r="H138" t="s">
        <v>18</v>
      </c>
      <c r="J138" t="s">
        <v>94</v>
      </c>
      <c r="K138" t="s">
        <v>18</v>
      </c>
      <c r="L138" t="s">
        <v>18</v>
      </c>
      <c r="M138" t="s">
        <v>18</v>
      </c>
      <c r="N138" s="2">
        <v>46210.036805555559</v>
      </c>
      <c r="O138" t="s">
        <v>17</v>
      </c>
      <c r="P138" t="s">
        <v>25</v>
      </c>
      <c r="Q138" s="2">
        <v>46220.063888888886</v>
      </c>
      <c r="R138" t="s">
        <v>88</v>
      </c>
      <c r="AM138" s="2"/>
      <c r="AP138" s="8"/>
      <c r="AQ138" s="8"/>
      <c r="AX138" s="7"/>
      <c r="AY138" s="7"/>
    </row>
    <row r="139" spans="1:51" x14ac:dyDescent="0.4">
      <c r="A139">
        <v>11194267</v>
      </c>
      <c r="B139" t="s">
        <v>89</v>
      </c>
      <c r="C139" t="s">
        <v>13</v>
      </c>
      <c r="D139" t="s">
        <v>20</v>
      </c>
      <c r="E139" t="s">
        <v>21</v>
      </c>
      <c r="F139" t="s">
        <v>263</v>
      </c>
      <c r="G139" t="s">
        <v>314</v>
      </c>
      <c r="H139" t="s">
        <v>18</v>
      </c>
      <c r="J139" t="s">
        <v>90</v>
      </c>
      <c r="K139" t="s">
        <v>18</v>
      </c>
      <c r="L139" t="s">
        <v>18</v>
      </c>
      <c r="M139" t="s">
        <v>18</v>
      </c>
      <c r="N139" s="2">
        <v>46206.068749999999</v>
      </c>
      <c r="O139" t="s">
        <v>17</v>
      </c>
      <c r="P139" t="s">
        <v>25</v>
      </c>
      <c r="Q139" s="2">
        <v>46219.734027777777</v>
      </c>
      <c r="R139" t="s">
        <v>82</v>
      </c>
      <c r="Z139" s="2"/>
      <c r="AM139" s="2"/>
      <c r="AP139" s="8"/>
      <c r="AQ139" s="8"/>
      <c r="AX139" s="7"/>
      <c r="AY139" s="7"/>
    </row>
    <row r="140" spans="1:51" x14ac:dyDescent="0.4">
      <c r="A140">
        <v>11213515</v>
      </c>
      <c r="B140" t="s">
        <v>336</v>
      </c>
      <c r="C140" t="s">
        <v>13</v>
      </c>
      <c r="D140" t="s">
        <v>20</v>
      </c>
      <c r="E140" t="s">
        <v>337</v>
      </c>
      <c r="F140" t="s">
        <v>252</v>
      </c>
      <c r="G140" t="s">
        <v>338</v>
      </c>
      <c r="H140" t="s">
        <v>18</v>
      </c>
      <c r="J140" t="s">
        <v>339</v>
      </c>
      <c r="K140" t="s">
        <v>18</v>
      </c>
      <c r="L140" t="s">
        <v>18</v>
      </c>
      <c r="M140" t="s">
        <v>18</v>
      </c>
      <c r="N140" s="2">
        <v>46211.597916666666</v>
      </c>
      <c r="O140" t="s">
        <v>17</v>
      </c>
      <c r="P140" t="s">
        <v>25</v>
      </c>
      <c r="Q140" s="2">
        <v>46219.640972222223</v>
      </c>
      <c r="R140" t="s">
        <v>88</v>
      </c>
      <c r="AM140" s="2"/>
      <c r="AP140" s="8"/>
      <c r="AQ140" s="8"/>
      <c r="AX140" s="7"/>
      <c r="AY140" s="7"/>
    </row>
    <row r="141" spans="1:51" x14ac:dyDescent="0.4">
      <c r="A141">
        <v>11210738</v>
      </c>
      <c r="B141" t="s">
        <v>106</v>
      </c>
      <c r="C141" t="s">
        <v>13</v>
      </c>
      <c r="D141" t="s">
        <v>20</v>
      </c>
      <c r="E141" t="s">
        <v>16</v>
      </c>
      <c r="F141" t="s">
        <v>225</v>
      </c>
      <c r="G141" t="s">
        <v>226</v>
      </c>
      <c r="H141" t="s">
        <v>18</v>
      </c>
      <c r="J141" t="s">
        <v>122</v>
      </c>
      <c r="K141" t="s">
        <v>18</v>
      </c>
      <c r="L141" t="s">
        <v>18</v>
      </c>
      <c r="M141" t="s">
        <v>18</v>
      </c>
      <c r="N141" s="2">
        <v>46210.832638888889</v>
      </c>
      <c r="O141" t="s">
        <v>17</v>
      </c>
      <c r="P141" t="s">
        <v>25</v>
      </c>
      <c r="Q141" s="2">
        <v>46219.584722222222</v>
      </c>
      <c r="R141" t="s">
        <v>88</v>
      </c>
      <c r="Z141" s="2"/>
      <c r="AM141" s="2"/>
      <c r="AP141" s="8"/>
      <c r="AQ141" s="8"/>
      <c r="AX141" s="7"/>
      <c r="AY141" s="7"/>
    </row>
    <row r="142" spans="1:51" x14ac:dyDescent="0.4">
      <c r="A142">
        <v>11209176</v>
      </c>
      <c r="B142" t="s">
        <v>106</v>
      </c>
      <c r="C142" t="s">
        <v>13</v>
      </c>
      <c r="D142" t="s">
        <v>20</v>
      </c>
      <c r="E142" t="s">
        <v>16</v>
      </c>
      <c r="F142" t="s">
        <v>225</v>
      </c>
      <c r="G142" t="s">
        <v>241</v>
      </c>
      <c r="H142" t="s">
        <v>18</v>
      </c>
      <c r="J142" t="s">
        <v>123</v>
      </c>
      <c r="K142" t="s">
        <v>18</v>
      </c>
      <c r="L142" t="s">
        <v>18</v>
      </c>
      <c r="M142" t="s">
        <v>18</v>
      </c>
      <c r="N142" s="2">
        <v>46210.727777777778</v>
      </c>
      <c r="O142" t="s">
        <v>17</v>
      </c>
      <c r="P142" t="s">
        <v>25</v>
      </c>
      <c r="Q142" s="2">
        <v>46219.537499999999</v>
      </c>
      <c r="R142" t="s">
        <v>88</v>
      </c>
      <c r="Z142" s="2"/>
      <c r="AM142" s="2"/>
      <c r="AP142" s="8"/>
      <c r="AQ142" s="8"/>
      <c r="AX142" s="7"/>
      <c r="AY142" s="7"/>
    </row>
    <row r="143" spans="1:51" x14ac:dyDescent="0.4">
      <c r="A143">
        <v>11233241</v>
      </c>
      <c r="B143" t="s">
        <v>174</v>
      </c>
      <c r="C143" t="s">
        <v>13</v>
      </c>
      <c r="D143" t="s">
        <v>15</v>
      </c>
      <c r="E143" t="s">
        <v>45</v>
      </c>
      <c r="F143" t="s">
        <v>224</v>
      </c>
      <c r="G143" t="s">
        <v>224</v>
      </c>
      <c r="H143" t="s">
        <v>26</v>
      </c>
      <c r="J143" t="s">
        <v>175</v>
      </c>
      <c r="K143" t="s">
        <v>18</v>
      </c>
      <c r="L143" t="s">
        <v>18</v>
      </c>
      <c r="M143" t="s">
        <v>19</v>
      </c>
      <c r="N143" s="2">
        <v>46217.54791666667</v>
      </c>
      <c r="O143" t="s">
        <v>27</v>
      </c>
      <c r="P143" t="s">
        <v>14</v>
      </c>
      <c r="Q143" s="2">
        <v>46219.506944444445</v>
      </c>
      <c r="R143" t="s">
        <v>86</v>
      </c>
      <c r="AM143" s="2"/>
      <c r="AP143" s="8"/>
      <c r="AQ143" s="8"/>
      <c r="AX143" s="7"/>
      <c r="AY143" s="7"/>
    </row>
    <row r="144" spans="1:51" x14ac:dyDescent="0.4">
      <c r="A144">
        <v>11104169</v>
      </c>
      <c r="B144" t="s">
        <v>24</v>
      </c>
      <c r="C144" t="s">
        <v>13</v>
      </c>
      <c r="D144" t="s">
        <v>15</v>
      </c>
      <c r="E144" t="s">
        <v>21</v>
      </c>
      <c r="F144" t="s">
        <v>263</v>
      </c>
      <c r="G144" t="s">
        <v>248</v>
      </c>
      <c r="H144" t="s">
        <v>18</v>
      </c>
      <c r="J144" t="s">
        <v>50</v>
      </c>
      <c r="K144" t="s">
        <v>18</v>
      </c>
      <c r="L144" t="s">
        <v>18</v>
      </c>
      <c r="M144" t="s">
        <v>18</v>
      </c>
      <c r="N144" s="2">
        <v>46182.861805555556</v>
      </c>
      <c r="O144" t="s">
        <v>17</v>
      </c>
      <c r="P144" t="s">
        <v>25</v>
      </c>
      <c r="Q144" s="2">
        <v>46219.129861111112</v>
      </c>
      <c r="R144" t="s">
        <v>83</v>
      </c>
      <c r="AM144" s="2"/>
      <c r="AP144" s="8"/>
      <c r="AQ144" s="8"/>
      <c r="AX144" s="7"/>
      <c r="AY144" s="7"/>
    </row>
    <row r="145" spans="1:61" x14ac:dyDescent="0.4">
      <c r="A145">
        <v>11213380</v>
      </c>
      <c r="B145" t="s">
        <v>131</v>
      </c>
      <c r="C145" t="s">
        <v>13</v>
      </c>
      <c r="D145" t="s">
        <v>20</v>
      </c>
      <c r="E145" t="s">
        <v>51</v>
      </c>
      <c r="F145" t="s">
        <v>270</v>
      </c>
      <c r="G145" t="s">
        <v>275</v>
      </c>
      <c r="H145" t="s">
        <v>18</v>
      </c>
      <c r="J145" t="s">
        <v>132</v>
      </c>
      <c r="K145" t="s">
        <v>18</v>
      </c>
      <c r="L145" t="s">
        <v>19</v>
      </c>
      <c r="M145" t="s">
        <v>18</v>
      </c>
      <c r="N145" s="2">
        <v>46211.578472222223</v>
      </c>
      <c r="O145" t="s">
        <v>17</v>
      </c>
      <c r="P145" t="s">
        <v>14</v>
      </c>
      <c r="Q145" s="2">
        <v>46218.979166666664</v>
      </c>
      <c r="R145" t="s">
        <v>88</v>
      </c>
      <c r="AM145" s="2"/>
      <c r="AP145" s="8"/>
      <c r="AQ145" s="8"/>
      <c r="AX145" s="7"/>
      <c r="AY145" s="7"/>
    </row>
    <row r="146" spans="1:61" x14ac:dyDescent="0.4">
      <c r="A146">
        <v>11228949</v>
      </c>
      <c r="B146" t="s">
        <v>136</v>
      </c>
      <c r="C146" t="s">
        <v>13</v>
      </c>
      <c r="D146" t="s">
        <v>20</v>
      </c>
      <c r="E146" t="s">
        <v>16</v>
      </c>
      <c r="F146" t="s">
        <v>283</v>
      </c>
      <c r="G146" t="s">
        <v>284</v>
      </c>
      <c r="H146" t="s">
        <v>18</v>
      </c>
      <c r="J146" t="s">
        <v>137</v>
      </c>
      <c r="K146" t="s">
        <v>18</v>
      </c>
      <c r="L146" t="s">
        <v>18</v>
      </c>
      <c r="M146" t="s">
        <v>18</v>
      </c>
      <c r="N146" s="2">
        <v>46216.493055555555</v>
      </c>
      <c r="O146" t="s">
        <v>17</v>
      </c>
      <c r="P146" t="s">
        <v>25</v>
      </c>
      <c r="Q146" s="2">
        <v>46218.873611111114</v>
      </c>
      <c r="R146" t="s">
        <v>86</v>
      </c>
      <c r="AM146" s="2"/>
      <c r="AP146" s="8"/>
      <c r="AQ146" s="8"/>
      <c r="AX146" s="7"/>
      <c r="AY146" s="7"/>
      <c r="BG146" s="2"/>
    </row>
    <row r="147" spans="1:61" x14ac:dyDescent="0.4">
      <c r="A147">
        <v>11139353</v>
      </c>
      <c r="B147" t="s">
        <v>24</v>
      </c>
      <c r="C147" t="s">
        <v>13</v>
      </c>
      <c r="D147" t="s">
        <v>20</v>
      </c>
      <c r="E147" t="s">
        <v>16</v>
      </c>
      <c r="F147" t="s">
        <v>225</v>
      </c>
      <c r="G147" t="s">
        <v>233</v>
      </c>
      <c r="H147" t="s">
        <v>18</v>
      </c>
      <c r="J147" t="s">
        <v>135</v>
      </c>
      <c r="K147" t="s">
        <v>18</v>
      </c>
      <c r="L147" t="s">
        <v>18</v>
      </c>
      <c r="M147" t="s">
        <v>18</v>
      </c>
      <c r="N147" s="2">
        <v>46191.455555555556</v>
      </c>
      <c r="O147" t="s">
        <v>17</v>
      </c>
      <c r="P147" t="s">
        <v>25</v>
      </c>
      <c r="Q147" s="2">
        <v>46218.553472222222</v>
      </c>
      <c r="R147" t="s">
        <v>83</v>
      </c>
      <c r="Z147" s="2"/>
      <c r="AM147" s="2"/>
      <c r="AP147" s="8"/>
      <c r="AQ147" s="8"/>
      <c r="AX147" s="7"/>
      <c r="AY147" s="7"/>
      <c r="BG147" s="2"/>
    </row>
    <row r="148" spans="1:61" x14ac:dyDescent="0.4">
      <c r="A148">
        <v>11211735</v>
      </c>
      <c r="B148" t="s">
        <v>124</v>
      </c>
      <c r="C148" t="s">
        <v>13</v>
      </c>
      <c r="D148" t="s">
        <v>20</v>
      </c>
      <c r="E148" t="s">
        <v>21</v>
      </c>
      <c r="F148" t="s">
        <v>303</v>
      </c>
      <c r="G148" t="s">
        <v>304</v>
      </c>
      <c r="H148" t="s">
        <v>18</v>
      </c>
      <c r="J148" t="s">
        <v>125</v>
      </c>
      <c r="K148" t="s">
        <v>18</v>
      </c>
      <c r="L148" t="s">
        <v>18</v>
      </c>
      <c r="M148" t="s">
        <v>18</v>
      </c>
      <c r="N148" s="2">
        <v>46211.13958333333</v>
      </c>
      <c r="O148" t="s">
        <v>33</v>
      </c>
      <c r="P148" t="s">
        <v>25</v>
      </c>
      <c r="Q148" s="2">
        <v>46217.975694444445</v>
      </c>
      <c r="R148" t="s">
        <v>88</v>
      </c>
      <c r="AM148" s="2"/>
      <c r="AP148" s="8"/>
      <c r="AQ148" s="8"/>
      <c r="AX148" s="7"/>
      <c r="AY148" s="7"/>
      <c r="BG148" s="2"/>
    </row>
    <row r="149" spans="1:61" x14ac:dyDescent="0.4">
      <c r="A149">
        <v>11213779</v>
      </c>
      <c r="B149" t="s">
        <v>113</v>
      </c>
      <c r="C149" t="s">
        <v>13</v>
      </c>
      <c r="D149" t="s">
        <v>15</v>
      </c>
      <c r="E149" t="s">
        <v>21</v>
      </c>
      <c r="F149" t="s">
        <v>291</v>
      </c>
      <c r="G149" t="s">
        <v>254</v>
      </c>
      <c r="H149" t="s">
        <v>26</v>
      </c>
      <c r="J149" t="s">
        <v>114</v>
      </c>
      <c r="K149" t="s">
        <v>26</v>
      </c>
      <c r="L149" t="s">
        <v>26</v>
      </c>
      <c r="M149" t="s">
        <v>26</v>
      </c>
      <c r="N149" s="2">
        <v>46211.635416666664</v>
      </c>
      <c r="O149" t="s">
        <v>17</v>
      </c>
      <c r="P149" t="s">
        <v>14</v>
      </c>
      <c r="Q149" s="2">
        <v>46217.75</v>
      </c>
      <c r="R149" t="s">
        <v>88</v>
      </c>
      <c r="AM149" s="2"/>
      <c r="AP149" s="8"/>
      <c r="AQ149" s="8"/>
      <c r="AX149" s="7"/>
      <c r="AY149" s="7"/>
      <c r="BG149" s="2"/>
    </row>
    <row r="150" spans="1:61" x14ac:dyDescent="0.4">
      <c r="A150">
        <v>11186774</v>
      </c>
      <c r="B150" t="s">
        <v>24</v>
      </c>
      <c r="C150" t="s">
        <v>13</v>
      </c>
      <c r="D150" t="s">
        <v>20</v>
      </c>
      <c r="E150" t="s">
        <v>16</v>
      </c>
      <c r="F150" t="s">
        <v>225</v>
      </c>
      <c r="G150" t="s">
        <v>307</v>
      </c>
      <c r="H150" t="s">
        <v>26</v>
      </c>
      <c r="J150" t="s">
        <v>127</v>
      </c>
      <c r="K150" t="s">
        <v>26</v>
      </c>
      <c r="L150" t="s">
        <v>18</v>
      </c>
      <c r="M150" t="s">
        <v>26</v>
      </c>
      <c r="N150" s="2">
        <v>46204.521527777775</v>
      </c>
      <c r="O150" t="s">
        <v>17</v>
      </c>
      <c r="P150" t="s">
        <v>25</v>
      </c>
      <c r="Q150" s="2">
        <v>46217.570138888892</v>
      </c>
      <c r="R150" t="s">
        <v>82</v>
      </c>
      <c r="AM150" s="2"/>
      <c r="AP150" s="8"/>
      <c r="AQ150" s="8"/>
      <c r="AX150" s="7"/>
      <c r="AY150" s="7"/>
      <c r="BG150" s="2"/>
    </row>
    <row r="151" spans="1:61" x14ac:dyDescent="0.4">
      <c r="A151">
        <v>11193634</v>
      </c>
      <c r="B151" t="s">
        <v>24</v>
      </c>
      <c r="C151" t="s">
        <v>13</v>
      </c>
      <c r="D151" t="s">
        <v>15</v>
      </c>
      <c r="E151" t="s">
        <v>21</v>
      </c>
      <c r="F151" t="s">
        <v>263</v>
      </c>
      <c r="G151" t="s">
        <v>312</v>
      </c>
      <c r="H151" t="s">
        <v>18</v>
      </c>
      <c r="J151" t="s">
        <v>91</v>
      </c>
      <c r="K151" t="s">
        <v>18</v>
      </c>
      <c r="L151" t="s">
        <v>18</v>
      </c>
      <c r="M151" t="s">
        <v>18</v>
      </c>
      <c r="N151" s="2">
        <v>46205.900694444441</v>
      </c>
      <c r="O151" t="s">
        <v>17</v>
      </c>
      <c r="P151" t="s">
        <v>25</v>
      </c>
      <c r="Q151" s="2">
        <v>46216.574305555558</v>
      </c>
      <c r="R151" t="s">
        <v>82</v>
      </c>
      <c r="AM151" s="2"/>
      <c r="AP151" s="8"/>
      <c r="AQ151" s="8"/>
      <c r="AU151" s="2"/>
      <c r="AX151" s="7"/>
      <c r="AY151" s="7"/>
      <c r="BG151" s="2"/>
    </row>
    <row r="152" spans="1:61" x14ac:dyDescent="0.4">
      <c r="A152">
        <v>11010830</v>
      </c>
      <c r="B152" t="s">
        <v>24</v>
      </c>
      <c r="C152" t="s">
        <v>13</v>
      </c>
      <c r="D152" t="s">
        <v>15</v>
      </c>
      <c r="E152" t="s">
        <v>21</v>
      </c>
      <c r="F152" t="s">
        <v>263</v>
      </c>
      <c r="G152" t="s">
        <v>313</v>
      </c>
      <c r="H152" t="s">
        <v>18</v>
      </c>
      <c r="J152" t="s">
        <v>42</v>
      </c>
      <c r="K152" t="s">
        <v>18</v>
      </c>
      <c r="L152" t="s">
        <v>18</v>
      </c>
      <c r="M152" t="s">
        <v>18</v>
      </c>
      <c r="N152" s="2">
        <v>46161.145833333336</v>
      </c>
      <c r="O152" t="s">
        <v>17</v>
      </c>
      <c r="P152" t="s">
        <v>25</v>
      </c>
      <c r="Q152" s="2">
        <v>46216.574305555558</v>
      </c>
      <c r="R152" t="s">
        <v>84</v>
      </c>
      <c r="AM152" s="2"/>
      <c r="AP152" s="8"/>
      <c r="AQ152" s="8"/>
      <c r="AU152" s="2"/>
      <c r="AX152" s="7"/>
      <c r="AY152" s="7"/>
      <c r="BI152" s="2"/>
    </row>
    <row r="153" spans="1:61" x14ac:dyDescent="0.4">
      <c r="A153">
        <v>10966808</v>
      </c>
      <c r="B153" t="s">
        <v>24</v>
      </c>
      <c r="C153" t="s">
        <v>13</v>
      </c>
      <c r="D153" t="s">
        <v>15</v>
      </c>
      <c r="E153" t="s">
        <v>21</v>
      </c>
      <c r="F153" t="s">
        <v>263</v>
      </c>
      <c r="G153" t="s">
        <v>233</v>
      </c>
      <c r="H153" t="s">
        <v>18</v>
      </c>
      <c r="J153" t="s">
        <v>44</v>
      </c>
      <c r="K153" t="s">
        <v>18</v>
      </c>
      <c r="L153" t="s">
        <v>18</v>
      </c>
      <c r="M153" t="s">
        <v>18</v>
      </c>
      <c r="N153" s="2">
        <v>46150.410416666666</v>
      </c>
      <c r="O153" t="s">
        <v>17</v>
      </c>
      <c r="P153" t="s">
        <v>25</v>
      </c>
      <c r="Q153" s="2">
        <v>46216.574305555558</v>
      </c>
      <c r="R153" t="s">
        <v>84</v>
      </c>
      <c r="AM153" s="2"/>
      <c r="AP153" s="8"/>
      <c r="AQ153" s="8"/>
      <c r="AU153" s="2"/>
      <c r="AX153" s="7"/>
      <c r="AY153" s="7"/>
      <c r="BI153" s="2"/>
    </row>
    <row r="154" spans="1:61" x14ac:dyDescent="0.4">
      <c r="A154">
        <v>11215526</v>
      </c>
      <c r="B154" t="s">
        <v>115</v>
      </c>
      <c r="C154" t="s">
        <v>13</v>
      </c>
      <c r="D154" t="s">
        <v>15</v>
      </c>
      <c r="E154" t="s">
        <v>21</v>
      </c>
      <c r="F154" t="s">
        <v>315</v>
      </c>
      <c r="G154" t="s">
        <v>316</v>
      </c>
      <c r="H154" t="s">
        <v>18</v>
      </c>
      <c r="J154" t="s">
        <v>116</v>
      </c>
      <c r="K154" t="s">
        <v>18</v>
      </c>
      <c r="L154" t="s">
        <v>29</v>
      </c>
      <c r="M154" t="s">
        <v>18</v>
      </c>
      <c r="N154" s="2">
        <v>46211.923611111109</v>
      </c>
      <c r="O154" t="s">
        <v>46</v>
      </c>
      <c r="P154" t="s">
        <v>14</v>
      </c>
      <c r="Q154" s="2">
        <v>46216.56527777778</v>
      </c>
      <c r="R154" t="s">
        <v>88</v>
      </c>
      <c r="AM154" s="2"/>
      <c r="AP154" s="8"/>
      <c r="AQ154" s="8"/>
      <c r="AU154" s="2"/>
      <c r="AX154" s="7"/>
      <c r="AY154" s="7"/>
      <c r="BI154" s="2"/>
    </row>
    <row r="155" spans="1:61" x14ac:dyDescent="0.4">
      <c r="A155">
        <v>11134922</v>
      </c>
      <c r="B155" t="s">
        <v>24</v>
      </c>
      <c r="C155" t="s">
        <v>13</v>
      </c>
      <c r="D155" t="s">
        <v>15</v>
      </c>
      <c r="E155" t="s">
        <v>21</v>
      </c>
      <c r="F155" t="s">
        <v>246</v>
      </c>
      <c r="G155" t="s">
        <v>233</v>
      </c>
      <c r="H155" t="s">
        <v>18</v>
      </c>
      <c r="J155" t="s">
        <v>52</v>
      </c>
      <c r="K155" t="s">
        <v>18</v>
      </c>
      <c r="L155" t="s">
        <v>18</v>
      </c>
      <c r="M155" t="s">
        <v>18</v>
      </c>
      <c r="N155" s="2">
        <v>46190.436805555553</v>
      </c>
      <c r="O155" t="s">
        <v>17</v>
      </c>
      <c r="P155" t="s">
        <v>25</v>
      </c>
      <c r="Q155" s="2">
        <v>46216.500694444447</v>
      </c>
      <c r="R155" t="s">
        <v>83</v>
      </c>
      <c r="Z155" s="2"/>
      <c r="AM155" s="2"/>
      <c r="AP155" s="8"/>
      <c r="AQ155" s="8"/>
      <c r="AU155" s="2"/>
      <c r="AX155" s="7"/>
      <c r="AY155" s="7"/>
      <c r="BI155" s="2"/>
    </row>
    <row r="156" spans="1:61" x14ac:dyDescent="0.4">
      <c r="A156">
        <v>11211114</v>
      </c>
      <c r="B156" t="s">
        <v>106</v>
      </c>
      <c r="C156" t="s">
        <v>13</v>
      </c>
      <c r="D156" t="s">
        <v>15</v>
      </c>
      <c r="E156" t="s">
        <v>21</v>
      </c>
      <c r="F156" t="s">
        <v>246</v>
      </c>
      <c r="G156" t="s">
        <v>320</v>
      </c>
      <c r="H156" t="s">
        <v>18</v>
      </c>
      <c r="J156" t="s">
        <v>107</v>
      </c>
      <c r="K156" t="s">
        <v>18</v>
      </c>
      <c r="L156" t="s">
        <v>18</v>
      </c>
      <c r="M156" t="s">
        <v>18</v>
      </c>
      <c r="N156" s="2">
        <v>46210.936111111114</v>
      </c>
      <c r="O156" t="s">
        <v>17</v>
      </c>
      <c r="P156" t="s">
        <v>25</v>
      </c>
      <c r="Q156" s="2">
        <v>46213.0625</v>
      </c>
      <c r="R156" t="s">
        <v>88</v>
      </c>
      <c r="AM156" s="2"/>
      <c r="AP156" s="8"/>
      <c r="AQ156" s="8"/>
      <c r="AU156" s="2"/>
      <c r="AY156" s="2"/>
      <c r="BI156" s="2"/>
    </row>
    <row r="157" spans="1:61" x14ac:dyDescent="0.4">
      <c r="A157">
        <v>10983462</v>
      </c>
      <c r="B157" t="s">
        <v>24</v>
      </c>
      <c r="C157" t="s">
        <v>13</v>
      </c>
      <c r="D157" t="s">
        <v>15</v>
      </c>
      <c r="E157" t="s">
        <v>21</v>
      </c>
      <c r="G157" t="s">
        <v>321</v>
      </c>
      <c r="H157" t="s">
        <v>18</v>
      </c>
      <c r="J157" t="s">
        <v>112</v>
      </c>
      <c r="K157" t="s">
        <v>18</v>
      </c>
      <c r="L157" t="s">
        <v>18</v>
      </c>
      <c r="M157" t="s">
        <v>18</v>
      </c>
      <c r="N157" s="2">
        <v>46155.840277777781</v>
      </c>
      <c r="O157" t="s">
        <v>17</v>
      </c>
      <c r="P157" t="s">
        <v>25</v>
      </c>
      <c r="Q157" s="2">
        <v>46211.851388888892</v>
      </c>
      <c r="R157" t="s">
        <v>84</v>
      </c>
      <c r="AM157" s="2"/>
      <c r="AP157" s="8"/>
      <c r="AQ157" s="8"/>
      <c r="AU157" s="2"/>
      <c r="AY157" s="2"/>
      <c r="BI157" s="2"/>
    </row>
    <row r="158" spans="1:61" x14ac:dyDescent="0.4">
      <c r="A158">
        <v>11125758</v>
      </c>
      <c r="B158" t="s">
        <v>24</v>
      </c>
      <c r="C158" t="s">
        <v>13</v>
      </c>
      <c r="D158" t="s">
        <v>20</v>
      </c>
      <c r="E158" t="s">
        <v>16</v>
      </c>
      <c r="F158" t="s">
        <v>311</v>
      </c>
      <c r="G158" t="s">
        <v>233</v>
      </c>
      <c r="H158" t="s">
        <v>18</v>
      </c>
      <c r="J158" t="s">
        <v>49</v>
      </c>
      <c r="K158" t="s">
        <v>18</v>
      </c>
      <c r="L158" t="s">
        <v>18</v>
      </c>
      <c r="M158" t="s">
        <v>18</v>
      </c>
      <c r="N158" s="2">
        <v>46188.477777777778</v>
      </c>
      <c r="O158" t="s">
        <v>17</v>
      </c>
      <c r="P158" t="s">
        <v>25</v>
      </c>
      <c r="Q158" s="2">
        <v>46211.509722222225</v>
      </c>
      <c r="R158" t="s">
        <v>83</v>
      </c>
      <c r="Z158" s="2"/>
      <c r="AM158" s="2"/>
      <c r="AP158" s="8"/>
      <c r="AQ158" s="8"/>
      <c r="BI158" s="2"/>
    </row>
    <row r="159" spans="1:61" x14ac:dyDescent="0.4">
      <c r="A159">
        <v>11180192</v>
      </c>
      <c r="B159" t="s">
        <v>108</v>
      </c>
      <c r="C159" t="s">
        <v>13</v>
      </c>
      <c r="D159" t="s">
        <v>15</v>
      </c>
      <c r="E159" t="s">
        <v>21</v>
      </c>
      <c r="F159" t="s">
        <v>323</v>
      </c>
      <c r="G159" t="s">
        <v>324</v>
      </c>
      <c r="H159" t="s">
        <v>18</v>
      </c>
      <c r="J159" t="s">
        <v>109</v>
      </c>
      <c r="K159" t="s">
        <v>18</v>
      </c>
      <c r="L159" t="s">
        <v>18</v>
      </c>
      <c r="M159" t="s">
        <v>18</v>
      </c>
      <c r="N159" s="2">
        <v>46202.96875</v>
      </c>
      <c r="O159" t="s">
        <v>17</v>
      </c>
      <c r="P159" t="s">
        <v>25</v>
      </c>
      <c r="Q159" s="2">
        <v>46210.824999999997</v>
      </c>
      <c r="R159" t="s">
        <v>82</v>
      </c>
      <c r="AM159" s="2"/>
      <c r="AP159" s="8"/>
      <c r="AQ159" s="8"/>
      <c r="BI159" s="2"/>
    </row>
    <row r="160" spans="1:61" x14ac:dyDescent="0.4">
      <c r="A160">
        <v>10940504</v>
      </c>
      <c r="B160" t="s">
        <v>24</v>
      </c>
      <c r="C160" t="s">
        <v>13</v>
      </c>
      <c r="D160" t="s">
        <v>20</v>
      </c>
      <c r="E160" t="s">
        <v>16</v>
      </c>
      <c r="F160" t="s">
        <v>281</v>
      </c>
      <c r="G160" t="s">
        <v>233</v>
      </c>
      <c r="H160" t="s">
        <v>18</v>
      </c>
      <c r="J160" t="s">
        <v>43</v>
      </c>
      <c r="K160" t="s">
        <v>18</v>
      </c>
      <c r="L160" t="s">
        <v>18</v>
      </c>
      <c r="M160" t="s">
        <v>18</v>
      </c>
      <c r="N160" s="2">
        <v>46141.543749999997</v>
      </c>
      <c r="O160" t="s">
        <v>17</v>
      </c>
      <c r="P160" t="s">
        <v>25</v>
      </c>
      <c r="Q160" s="2">
        <v>46205.802083333336</v>
      </c>
      <c r="R160" t="s">
        <v>84</v>
      </c>
      <c r="AM160" s="2"/>
      <c r="AP160" s="8"/>
      <c r="AQ160" s="8"/>
      <c r="BI160" s="2"/>
    </row>
    <row r="161" spans="1:67" x14ac:dyDescent="0.4">
      <c r="A161">
        <v>11179339</v>
      </c>
      <c r="B161" t="s">
        <v>67</v>
      </c>
      <c r="C161" t="s">
        <v>13</v>
      </c>
      <c r="D161" t="s">
        <v>15</v>
      </c>
      <c r="E161" t="s">
        <v>16</v>
      </c>
      <c r="F161" t="s">
        <v>281</v>
      </c>
      <c r="G161" t="s">
        <v>325</v>
      </c>
      <c r="H161" t="s">
        <v>18</v>
      </c>
      <c r="J161" t="s">
        <v>68</v>
      </c>
      <c r="K161" t="s">
        <v>18</v>
      </c>
      <c r="L161" t="s">
        <v>18</v>
      </c>
      <c r="M161" t="s">
        <v>18</v>
      </c>
      <c r="N161" s="2">
        <v>46202.775694444441</v>
      </c>
      <c r="O161" t="s">
        <v>17</v>
      </c>
      <c r="P161" t="s">
        <v>25</v>
      </c>
      <c r="Q161" s="2">
        <v>46202.791666666664</v>
      </c>
      <c r="R161" t="s">
        <v>82</v>
      </c>
      <c r="AM161" s="2"/>
      <c r="AP161" s="8"/>
      <c r="AQ161" s="8"/>
      <c r="BI161" s="2"/>
    </row>
    <row r="162" spans="1:67" x14ac:dyDescent="0.4">
      <c r="A162">
        <v>11144982</v>
      </c>
      <c r="B162" t="s">
        <v>24</v>
      </c>
      <c r="C162" t="s">
        <v>13</v>
      </c>
      <c r="D162" t="s">
        <v>20</v>
      </c>
      <c r="E162" t="s">
        <v>21</v>
      </c>
      <c r="F162" t="s">
        <v>303</v>
      </c>
      <c r="G162" t="s">
        <v>326</v>
      </c>
      <c r="H162" t="s">
        <v>18</v>
      </c>
      <c r="J162" t="s">
        <v>56</v>
      </c>
      <c r="K162" t="s">
        <v>18</v>
      </c>
      <c r="L162" t="s">
        <v>18</v>
      </c>
      <c r="M162" t="s">
        <v>18</v>
      </c>
      <c r="N162" s="2">
        <v>46192.78402777778</v>
      </c>
      <c r="O162" t="s">
        <v>17</v>
      </c>
      <c r="P162" t="s">
        <v>25</v>
      </c>
      <c r="Q162" s="2">
        <v>46198.627083333333</v>
      </c>
      <c r="R162" t="s">
        <v>83</v>
      </c>
      <c r="AM162" s="2"/>
      <c r="AP162" s="8"/>
      <c r="AQ162" s="8"/>
      <c r="BI162" s="2"/>
    </row>
    <row r="163" spans="1:67" x14ac:dyDescent="0.4">
      <c r="A163">
        <v>10989750</v>
      </c>
      <c r="B163" t="s">
        <v>30</v>
      </c>
      <c r="C163" t="s">
        <v>13</v>
      </c>
      <c r="D163" t="s">
        <v>15</v>
      </c>
      <c r="E163" t="s">
        <v>16</v>
      </c>
      <c r="F163" t="s">
        <v>281</v>
      </c>
      <c r="G163" t="s">
        <v>325</v>
      </c>
      <c r="H163" t="s">
        <v>18</v>
      </c>
      <c r="J163" t="s">
        <v>48</v>
      </c>
      <c r="K163" t="s">
        <v>18</v>
      </c>
      <c r="L163" t="s">
        <v>18</v>
      </c>
      <c r="M163" t="s">
        <v>18</v>
      </c>
      <c r="N163" s="2">
        <v>46157.554861111108</v>
      </c>
      <c r="O163" t="s">
        <v>27</v>
      </c>
      <c r="P163" t="s">
        <v>25</v>
      </c>
      <c r="Q163" s="2">
        <v>46198.613888888889</v>
      </c>
      <c r="R163" t="s">
        <v>84</v>
      </c>
      <c r="AM163" s="2"/>
      <c r="AP163" s="8"/>
      <c r="AQ163" s="8"/>
      <c r="BI163" s="2"/>
    </row>
    <row r="164" spans="1:67" x14ac:dyDescent="0.4">
      <c r="N164" s="2"/>
      <c r="Q164" s="2"/>
      <c r="AM164" s="2"/>
      <c r="AP164" s="8"/>
      <c r="AQ164" s="8"/>
      <c r="BI164" s="2"/>
    </row>
    <row r="165" spans="1:67" x14ac:dyDescent="0.4">
      <c r="N165" s="2"/>
      <c r="Q165" s="2"/>
      <c r="AM165" s="2"/>
      <c r="AP165" s="8"/>
      <c r="AQ165" s="8"/>
      <c r="BI165" s="2"/>
      <c r="BO165" s="2"/>
    </row>
    <row r="166" spans="1:67" x14ac:dyDescent="0.4">
      <c r="N166" s="2"/>
      <c r="Q166" s="2"/>
      <c r="AM166" s="2"/>
      <c r="AP166" s="8"/>
      <c r="AQ166" s="8"/>
      <c r="BI166" s="2"/>
      <c r="BO166" s="2"/>
    </row>
    <row r="167" spans="1:67" x14ac:dyDescent="0.4">
      <c r="N167" s="2"/>
      <c r="Q167" s="2"/>
      <c r="W167" s="8"/>
      <c r="X167" s="8"/>
      <c r="Y167" s="8"/>
      <c r="Z167" s="8"/>
      <c r="AA167" s="8"/>
      <c r="AB167" s="8"/>
      <c r="AC167" s="8"/>
      <c r="AD167" s="8"/>
      <c r="AE167" s="8"/>
      <c r="AF167" s="8"/>
      <c r="AG167" s="8"/>
      <c r="AH167" s="8"/>
      <c r="AI167" s="8"/>
      <c r="AK167" s="8"/>
      <c r="AM167" s="8"/>
      <c r="AO167" s="9"/>
      <c r="AP167" s="8"/>
      <c r="AQ167" s="8"/>
      <c r="BI167" s="2"/>
      <c r="BO167" s="2"/>
    </row>
    <row r="168" spans="1:67" x14ac:dyDescent="0.4">
      <c r="N168" s="2"/>
      <c r="Q168" s="2"/>
      <c r="W168" s="8"/>
      <c r="X168" s="8"/>
      <c r="Y168" s="8"/>
      <c r="Z168" s="8"/>
      <c r="AA168" s="8"/>
      <c r="AB168" s="8"/>
      <c r="AC168" s="8"/>
      <c r="AD168" s="8"/>
      <c r="AE168" s="8"/>
      <c r="AF168" s="8"/>
      <c r="AG168" s="8"/>
      <c r="AH168" s="8"/>
      <c r="AI168" s="8"/>
      <c r="AK168" s="8"/>
      <c r="AM168" s="8"/>
      <c r="AO168" s="9"/>
      <c r="AP168" s="8"/>
      <c r="AQ168" s="8"/>
      <c r="BI168" s="2"/>
      <c r="BO168" s="2"/>
    </row>
    <row r="169" spans="1:67" x14ac:dyDescent="0.4">
      <c r="N169" s="2"/>
      <c r="Q169" s="2"/>
      <c r="AQ169" s="2"/>
      <c r="BK169" s="2"/>
      <c r="BO169" s="2"/>
    </row>
    <row r="170" spans="1:67" x14ac:dyDescent="0.4">
      <c r="N170" s="2"/>
      <c r="Q170" s="2"/>
      <c r="AQ170" s="2"/>
      <c r="BO170" s="2"/>
    </row>
    <row r="171" spans="1:67" x14ac:dyDescent="0.4">
      <c r="N171" s="2"/>
      <c r="Q171" s="2"/>
      <c r="AQ171" s="2"/>
      <c r="BO171" s="2"/>
    </row>
    <row r="172" spans="1:67" x14ac:dyDescent="0.4">
      <c r="N172" s="2"/>
      <c r="Q172" s="2"/>
      <c r="AQ172" s="2"/>
      <c r="BO172" s="2"/>
    </row>
    <row r="173" spans="1:67" x14ac:dyDescent="0.4">
      <c r="N173" s="2"/>
      <c r="Q173" s="2"/>
      <c r="BO173" s="2"/>
    </row>
    <row r="174" spans="1:67" x14ac:dyDescent="0.4">
      <c r="N174" s="2"/>
      <c r="Q174" s="2"/>
      <c r="BO174" s="2"/>
    </row>
    <row r="175" spans="1:67" x14ac:dyDescent="0.4">
      <c r="N175" s="2"/>
      <c r="Q175" s="2"/>
      <c r="BO175" s="2"/>
    </row>
    <row r="176" spans="1:67" x14ac:dyDescent="0.4">
      <c r="N176" s="2"/>
      <c r="Q176" s="2"/>
      <c r="BO176" s="2"/>
    </row>
    <row r="177" spans="9:77" x14ac:dyDescent="0.4">
      <c r="N177" s="2"/>
      <c r="Q177" s="2"/>
      <c r="BQ177" s="2"/>
    </row>
    <row r="178" spans="9:77" x14ac:dyDescent="0.4">
      <c r="N178" s="2"/>
      <c r="Q178" s="2"/>
      <c r="BQ178" s="2"/>
    </row>
    <row r="179" spans="9:77" x14ac:dyDescent="0.4">
      <c r="N179" s="2"/>
      <c r="Q179" s="2"/>
      <c r="BQ179" s="2"/>
    </row>
    <row r="180" spans="9:77" x14ac:dyDescent="0.4">
      <c r="N180" s="2"/>
      <c r="Q180" s="2"/>
      <c r="BS180" s="2"/>
    </row>
    <row r="181" spans="9:77" x14ac:dyDescent="0.4">
      <c r="N181" s="2"/>
      <c r="Q181" s="2"/>
      <c r="BS181" s="2"/>
    </row>
    <row r="182" spans="9:77" x14ac:dyDescent="0.4">
      <c r="N182" s="2"/>
      <c r="Q182" s="2"/>
      <c r="BU182" s="2"/>
    </row>
    <row r="183" spans="9:77" x14ac:dyDescent="0.4">
      <c r="I183" s="2"/>
      <c r="P183" s="2"/>
      <c r="BU183" s="2"/>
    </row>
    <row r="184" spans="9:77" x14ac:dyDescent="0.4">
      <c r="I184" s="2"/>
      <c r="P184" s="2"/>
      <c r="BU184" s="2"/>
    </row>
    <row r="185" spans="9:77" x14ac:dyDescent="0.4">
      <c r="I185" s="2"/>
      <c r="P185" s="2"/>
      <c r="BU185" s="2"/>
    </row>
    <row r="186" spans="9:77" x14ac:dyDescent="0.4">
      <c r="I186" s="2"/>
      <c r="P186" s="2"/>
      <c r="BU186" s="2"/>
      <c r="BY186" s="2"/>
    </row>
    <row r="187" spans="9:77" x14ac:dyDescent="0.4">
      <c r="I187" s="2"/>
      <c r="P187" s="2"/>
      <c r="BU187" s="2"/>
    </row>
    <row r="188" spans="9:77" x14ac:dyDescent="0.4">
      <c r="I188" s="2"/>
      <c r="P188" s="2"/>
      <c r="BU188" s="2"/>
    </row>
    <row r="189" spans="9:77" x14ac:dyDescent="0.4">
      <c r="I189" s="2"/>
      <c r="P189" s="2"/>
      <c r="BU189" s="2"/>
    </row>
    <row r="190" spans="9:77" x14ac:dyDescent="0.4">
      <c r="I190" s="2"/>
      <c r="P190" s="2"/>
      <c r="BU190" s="2"/>
    </row>
    <row r="191" spans="9:77" x14ac:dyDescent="0.4">
      <c r="I191" s="2"/>
      <c r="P191" s="2"/>
      <c r="BU191" s="2"/>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2F412-B92D-450E-9DC9-F1ECCF3300D2}">
  <dimension ref="A1:H359"/>
  <sheetViews>
    <sheetView workbookViewId="0">
      <selection activeCell="G1" sqref="G1:G1048576"/>
    </sheetView>
  </sheetViews>
  <sheetFormatPr defaultColWidth="10.6640625" defaultRowHeight="16" x14ac:dyDescent="0.4"/>
  <cols>
    <col min="2" max="2" width="17.33203125" bestFit="1" customWidth="1"/>
  </cols>
  <sheetData>
    <row r="1" spans="1:8" x14ac:dyDescent="0.4">
      <c r="A1" s="1" t="s">
        <v>35</v>
      </c>
      <c r="B1" s="1" t="s">
        <v>36</v>
      </c>
      <c r="C1" s="1" t="s">
        <v>37</v>
      </c>
      <c r="D1" s="1" t="s">
        <v>4</v>
      </c>
      <c r="E1" s="1" t="s">
        <v>11</v>
      </c>
      <c r="F1" s="1" t="s">
        <v>38</v>
      </c>
      <c r="G1" s="1" t="s">
        <v>34</v>
      </c>
      <c r="H1" s="1" t="s">
        <v>39</v>
      </c>
    </row>
    <row r="2" spans="1:8" x14ac:dyDescent="0.4">
      <c r="B2" s="2">
        <v>46223.688194444447</v>
      </c>
      <c r="D2" t="s">
        <v>40</v>
      </c>
      <c r="F2">
        <f ca="1">IF(D2="Open",NOW()-B2,"")</f>
        <v>5.4231481481110677E-3</v>
      </c>
      <c r="G2" t="str">
        <f ca="1">IF(D2&lt;&gt;"Open","",IF(F2&lt;=1,"00_24 Hours",IF(F2&lt;=3,"01_03 Days",IF(F2&lt;=5,"04_05 Days",IF(F2&lt;=10,"06_10 Days",IF(F2&lt;=15,"11_15 Days",IF(F2&lt;=30,"16_30 Days",IF(F2&lt;=60,"31_60 Days","&gt;60 Days"))))))))</f>
        <v>00_24 Hours</v>
      </c>
      <c r="H2" t="str">
        <f ca="1">IF(AND(D2="Open",F2&gt;3),"SLA Breached","Within SLA")</f>
        <v>Within SLA</v>
      </c>
    </row>
    <row r="3" spans="1:8" x14ac:dyDescent="0.4">
      <c r="B3" s="2">
        <v>46223.688194444447</v>
      </c>
      <c r="D3" t="s">
        <v>40</v>
      </c>
      <c r="F3">
        <f t="shared" ref="F3:F66" ca="1" si="0">IF(D3="Open",NOW()-B3,"")</f>
        <v>5.4231481481110677E-3</v>
      </c>
      <c r="G3" t="str">
        <f t="shared" ref="G3:G66" ca="1" si="1">IF(D3&lt;&gt;"Open","",IF(F3&lt;=1,"00_24 Hours",IF(F3&lt;=3,"01_03 Days",IF(F3&lt;=5,"04_05 Days",IF(F3&lt;=10,"06_10 Days",IF(F3&lt;=15,"11_15 Days",IF(F3&lt;=30,"16_30 Days",IF(F3&lt;=60,"31_60 Days","&gt;60 Days"))))))))</f>
        <v>00_24 Hours</v>
      </c>
    </row>
    <row r="4" spans="1:8" x14ac:dyDescent="0.4">
      <c r="B4" s="2">
        <v>46223.686805555553</v>
      </c>
      <c r="D4" t="s">
        <v>40</v>
      </c>
      <c r="F4">
        <f t="shared" ca="1" si="0"/>
        <v>6.8120370415272191E-3</v>
      </c>
      <c r="G4" t="str">
        <f t="shared" ca="1" si="1"/>
        <v>00_24 Hours</v>
      </c>
    </row>
    <row r="5" spans="1:8" x14ac:dyDescent="0.4">
      <c r="B5" s="2">
        <v>46223.668749999997</v>
      </c>
      <c r="D5" t="s">
        <v>40</v>
      </c>
      <c r="F5">
        <f t="shared" ca="1" si="0"/>
        <v>2.4867592597729526E-2</v>
      </c>
      <c r="G5" t="str">
        <f t="shared" ca="1" si="1"/>
        <v>00_24 Hours</v>
      </c>
    </row>
    <row r="6" spans="1:8" x14ac:dyDescent="0.4">
      <c r="B6" s="2">
        <v>46219.656944444447</v>
      </c>
      <c r="D6" t="s">
        <v>40</v>
      </c>
      <c r="F6">
        <f t="shared" ca="1" si="0"/>
        <v>4.0366731481481111</v>
      </c>
      <c r="G6" t="str">
        <f t="shared" ca="1" si="1"/>
        <v>04_05 Days</v>
      </c>
    </row>
    <row r="7" spans="1:8" x14ac:dyDescent="0.4">
      <c r="B7" s="2">
        <v>46223.289583333331</v>
      </c>
      <c r="D7" t="s">
        <v>40</v>
      </c>
      <c r="F7">
        <f t="shared" ca="1" si="0"/>
        <v>0.40403425926342607</v>
      </c>
      <c r="G7" t="str">
        <f t="shared" ca="1" si="1"/>
        <v>00_24 Hours</v>
      </c>
    </row>
    <row r="8" spans="1:8" x14ac:dyDescent="0.4">
      <c r="B8" s="2">
        <v>46223.678472222222</v>
      </c>
      <c r="D8" t="s">
        <v>40</v>
      </c>
      <c r="F8">
        <f t="shared" ca="1" si="0"/>
        <v>1.5145370372920297E-2</v>
      </c>
      <c r="G8" t="str">
        <f t="shared" ca="1" si="1"/>
        <v>00_24 Hours</v>
      </c>
    </row>
    <row r="9" spans="1:8" x14ac:dyDescent="0.4">
      <c r="B9" s="2">
        <v>46223.408333333333</v>
      </c>
      <c r="D9" t="s">
        <v>40</v>
      </c>
      <c r="F9">
        <f t="shared" ca="1" si="0"/>
        <v>0.28528425926197087</v>
      </c>
      <c r="G9" t="str">
        <f t="shared" ca="1" si="1"/>
        <v>00_24 Hours</v>
      </c>
    </row>
    <row r="10" spans="1:8" x14ac:dyDescent="0.4">
      <c r="B10" s="2">
        <v>46223.303472222222</v>
      </c>
      <c r="D10" t="s">
        <v>40</v>
      </c>
      <c r="F10">
        <f t="shared" ca="1" si="0"/>
        <v>0.3901453703729203</v>
      </c>
      <c r="G10" t="str">
        <f t="shared" ca="1" si="1"/>
        <v>00_24 Hours</v>
      </c>
    </row>
    <row r="11" spans="1:8" x14ac:dyDescent="0.4">
      <c r="B11" s="2">
        <v>46203.852777777778</v>
      </c>
      <c r="D11" t="s">
        <v>40</v>
      </c>
      <c r="F11">
        <f t="shared" ca="1" si="0"/>
        <v>19.840839814816718</v>
      </c>
      <c r="G11" t="str">
        <f t="shared" ca="1" si="1"/>
        <v>16_30 Days</v>
      </c>
    </row>
    <row r="12" spans="1:8" x14ac:dyDescent="0.4">
      <c r="B12" s="2">
        <v>46223.54791666667</v>
      </c>
      <c r="D12" t="s">
        <v>40</v>
      </c>
      <c r="F12">
        <f t="shared" ca="1" si="0"/>
        <v>0.14570092592475703</v>
      </c>
      <c r="G12" t="str">
        <f t="shared" ca="1" si="1"/>
        <v>00_24 Hours</v>
      </c>
    </row>
    <row r="13" spans="1:8" x14ac:dyDescent="0.4">
      <c r="B13" s="2">
        <v>46223.642361111109</v>
      </c>
      <c r="D13" t="s">
        <v>40</v>
      </c>
      <c r="F13">
        <f t="shared" ca="1" si="0"/>
        <v>5.1256481485324912E-2</v>
      </c>
      <c r="G13" t="str">
        <f t="shared" ca="1" si="1"/>
        <v>00_24 Hours</v>
      </c>
    </row>
    <row r="14" spans="1:8" x14ac:dyDescent="0.4">
      <c r="B14" s="2">
        <v>46213.45</v>
      </c>
      <c r="D14" t="s">
        <v>40</v>
      </c>
      <c r="F14">
        <f t="shared" ca="1" si="0"/>
        <v>10.24361759259773</v>
      </c>
      <c r="G14" t="str">
        <f t="shared" ca="1" si="1"/>
        <v>11_15 Days</v>
      </c>
    </row>
    <row r="15" spans="1:8" x14ac:dyDescent="0.4">
      <c r="B15" s="2">
        <v>46223.552083333336</v>
      </c>
      <c r="D15" t="s">
        <v>40</v>
      </c>
      <c r="F15">
        <f t="shared" ca="1" si="0"/>
        <v>0.14153425925906049</v>
      </c>
      <c r="G15" t="str">
        <f t="shared" ca="1" si="1"/>
        <v>00_24 Hours</v>
      </c>
    </row>
    <row r="16" spans="1:8" x14ac:dyDescent="0.4">
      <c r="B16" s="2">
        <v>46223.499305555553</v>
      </c>
      <c r="D16" t="s">
        <v>40</v>
      </c>
      <c r="F16">
        <f t="shared" ca="1" si="0"/>
        <v>0.19431203704152722</v>
      </c>
      <c r="G16" t="str">
        <f t="shared" ca="1" si="1"/>
        <v>00_24 Hours</v>
      </c>
    </row>
    <row r="17" spans="2:7" x14ac:dyDescent="0.4">
      <c r="B17" s="2">
        <v>46196.720833333333</v>
      </c>
      <c r="D17" t="s">
        <v>40</v>
      </c>
      <c r="F17">
        <f t="shared" ca="1" si="0"/>
        <v>26.972784259261971</v>
      </c>
      <c r="G17" t="str">
        <f t="shared" ca="1" si="1"/>
        <v>16_30 Days</v>
      </c>
    </row>
    <row r="18" spans="2:7" x14ac:dyDescent="0.4">
      <c r="B18" s="2">
        <v>46223.636111111111</v>
      </c>
      <c r="D18" t="s">
        <v>40</v>
      </c>
      <c r="F18">
        <f t="shared" ca="1" si="0"/>
        <v>5.750648148386972E-2</v>
      </c>
      <c r="G18" t="str">
        <f t="shared" ca="1" si="1"/>
        <v>00_24 Hours</v>
      </c>
    </row>
    <row r="19" spans="2:7" x14ac:dyDescent="0.4">
      <c r="B19" s="2">
        <v>46189.915972222225</v>
      </c>
      <c r="D19" t="s">
        <v>40</v>
      </c>
      <c r="F19">
        <f t="shared" ca="1" si="0"/>
        <v>33.77764537037001</v>
      </c>
      <c r="G19" t="str">
        <f t="shared" ca="1" si="1"/>
        <v>31_60 Days</v>
      </c>
    </row>
    <row r="20" spans="2:7" x14ac:dyDescent="0.4">
      <c r="B20" s="2">
        <v>46220.816666666666</v>
      </c>
      <c r="D20" t="s">
        <v>40</v>
      </c>
      <c r="F20">
        <f t="shared" ca="1" si="0"/>
        <v>2.8769509259291226</v>
      </c>
      <c r="G20" t="str">
        <f t="shared" ca="1" si="1"/>
        <v>01_03 Days</v>
      </c>
    </row>
    <row r="21" spans="2:7" x14ac:dyDescent="0.4">
      <c r="B21" s="2">
        <v>46218.615277777775</v>
      </c>
      <c r="D21" t="s">
        <v>40</v>
      </c>
      <c r="F21">
        <f t="shared" ca="1" si="0"/>
        <v>5.0783398148196284</v>
      </c>
      <c r="G21" t="str">
        <f t="shared" ca="1" si="1"/>
        <v>06_10 Days</v>
      </c>
    </row>
    <row r="22" spans="2:7" x14ac:dyDescent="0.4">
      <c r="B22" s="2">
        <v>46188.678472222222</v>
      </c>
      <c r="D22" t="s">
        <v>40</v>
      </c>
      <c r="F22">
        <f t="shared" ca="1" si="0"/>
        <v>35.01514537037292</v>
      </c>
      <c r="G22" t="str">
        <f t="shared" ca="1" si="1"/>
        <v>31_60 Days</v>
      </c>
    </row>
    <row r="23" spans="2:7" x14ac:dyDescent="0.4">
      <c r="B23" s="2">
        <v>46170.729166666664</v>
      </c>
      <c r="D23" t="s">
        <v>40</v>
      </c>
      <c r="F23">
        <f t="shared" ca="1" si="0"/>
        <v>52.964450925930578</v>
      </c>
      <c r="G23" t="str">
        <f t="shared" ca="1" si="1"/>
        <v>31_60 Days</v>
      </c>
    </row>
    <row r="24" spans="2:7" x14ac:dyDescent="0.4">
      <c r="B24" s="2">
        <v>46191.129861111112</v>
      </c>
      <c r="D24" t="s">
        <v>40</v>
      </c>
      <c r="F24">
        <f t="shared" ca="1" si="0"/>
        <v>32.563756481482415</v>
      </c>
      <c r="G24" t="str">
        <f t="shared" ca="1" si="1"/>
        <v>31_60 Days</v>
      </c>
    </row>
    <row r="25" spans="2:7" x14ac:dyDescent="0.4">
      <c r="B25" s="2">
        <v>46217.801388888889</v>
      </c>
      <c r="D25" t="s">
        <v>40</v>
      </c>
      <c r="F25">
        <f t="shared" ca="1" si="0"/>
        <v>5.8922287037057686</v>
      </c>
      <c r="G25" t="str">
        <f t="shared" ca="1" si="1"/>
        <v>06_10 Days</v>
      </c>
    </row>
    <row r="26" spans="2:7" x14ac:dyDescent="0.4">
      <c r="B26" s="2">
        <v>46220.724305555559</v>
      </c>
      <c r="D26" t="s">
        <v>40</v>
      </c>
      <c r="F26">
        <f t="shared" ca="1" si="0"/>
        <v>2.9693120370357065</v>
      </c>
      <c r="G26" t="str">
        <f t="shared" ca="1" si="1"/>
        <v>01_03 Days</v>
      </c>
    </row>
    <row r="27" spans="2:7" x14ac:dyDescent="0.4">
      <c r="B27" s="2">
        <v>46211.964583333334</v>
      </c>
      <c r="D27" t="s">
        <v>40</v>
      </c>
      <c r="F27">
        <f t="shared" ca="1" si="0"/>
        <v>11.729034259260516</v>
      </c>
      <c r="G27" t="str">
        <f t="shared" ca="1" si="1"/>
        <v>11_15 Days</v>
      </c>
    </row>
    <row r="28" spans="2:7" x14ac:dyDescent="0.4">
      <c r="B28" s="2">
        <v>46221.119444444441</v>
      </c>
      <c r="D28" t="s">
        <v>40</v>
      </c>
      <c r="F28">
        <f t="shared" ca="1" si="0"/>
        <v>2.5741731481539318</v>
      </c>
      <c r="G28" t="str">
        <f t="shared" ca="1" si="1"/>
        <v>01_03 Days</v>
      </c>
    </row>
    <row r="29" spans="2:7" x14ac:dyDescent="0.4">
      <c r="B29" s="2">
        <v>46223.571527777778</v>
      </c>
      <c r="D29" t="s">
        <v>40</v>
      </c>
      <c r="F29">
        <f t="shared" ca="1" si="0"/>
        <v>0.12208981481671799</v>
      </c>
      <c r="G29" t="str">
        <f t="shared" ca="1" si="1"/>
        <v>00_24 Hours</v>
      </c>
    </row>
    <row r="30" spans="2:7" x14ac:dyDescent="0.4">
      <c r="B30" s="2">
        <v>46223.582638888889</v>
      </c>
      <c r="D30" t="s">
        <v>40</v>
      </c>
      <c r="F30">
        <f t="shared" ca="1" si="0"/>
        <v>0.11097870370576857</v>
      </c>
      <c r="G30" t="str">
        <f t="shared" ca="1" si="1"/>
        <v>00_24 Hours</v>
      </c>
    </row>
    <row r="31" spans="2:7" x14ac:dyDescent="0.4">
      <c r="B31" s="2">
        <v>46204.825694444444</v>
      </c>
      <c r="D31" t="s">
        <v>40</v>
      </c>
      <c r="F31">
        <f t="shared" ca="1" si="0"/>
        <v>18.867923148151021</v>
      </c>
      <c r="G31" t="str">
        <f t="shared" ca="1" si="1"/>
        <v>16_30 Days</v>
      </c>
    </row>
    <row r="32" spans="2:7" x14ac:dyDescent="0.4">
      <c r="B32" s="2">
        <v>46223.581250000003</v>
      </c>
      <c r="D32" t="s">
        <v>40</v>
      </c>
      <c r="F32">
        <f t="shared" ca="1" si="0"/>
        <v>0.11236759259190876</v>
      </c>
      <c r="G32" t="str">
        <f t="shared" ca="1" si="1"/>
        <v>00_24 Hours</v>
      </c>
    </row>
    <row r="33" spans="2:7" x14ac:dyDescent="0.4">
      <c r="B33" s="2">
        <v>46162.955555555556</v>
      </c>
      <c r="D33" t="s">
        <v>40</v>
      </c>
      <c r="F33">
        <f t="shared" ca="1" si="0"/>
        <v>60.738062037038617</v>
      </c>
      <c r="G33" t="str">
        <f t="shared" ca="1" si="1"/>
        <v>&gt;60 Days</v>
      </c>
    </row>
    <row r="34" spans="2:7" x14ac:dyDescent="0.4">
      <c r="B34" s="2">
        <v>46223.506944444445</v>
      </c>
      <c r="D34" t="s">
        <v>40</v>
      </c>
      <c r="F34">
        <f t="shared" ca="1" si="0"/>
        <v>0.18667314814956626</v>
      </c>
      <c r="G34" t="str">
        <f t="shared" ca="1" si="1"/>
        <v>00_24 Hours</v>
      </c>
    </row>
    <row r="35" spans="2:7" x14ac:dyDescent="0.4">
      <c r="B35" s="2">
        <v>46222.489583333336</v>
      </c>
      <c r="D35" t="s">
        <v>40</v>
      </c>
      <c r="F35">
        <f t="shared" ca="1" si="0"/>
        <v>1.2040342592590605</v>
      </c>
      <c r="G35" t="str">
        <f t="shared" ca="1" si="1"/>
        <v>01_03 Days</v>
      </c>
    </row>
    <row r="36" spans="2:7" x14ac:dyDescent="0.4">
      <c r="B36" s="2">
        <v>46223.131944444445</v>
      </c>
      <c r="D36" t="s">
        <v>40</v>
      </c>
      <c r="F36">
        <f t="shared" ca="1" si="0"/>
        <v>0.56167314814956626</v>
      </c>
      <c r="G36" t="str">
        <f t="shared" ca="1" si="1"/>
        <v>00_24 Hours</v>
      </c>
    </row>
    <row r="37" spans="2:7" x14ac:dyDescent="0.4">
      <c r="B37" s="2">
        <v>46223.561111111114</v>
      </c>
      <c r="D37" t="s">
        <v>40</v>
      </c>
      <c r="F37">
        <f t="shared" ca="1" si="0"/>
        <v>0.13250648148095934</v>
      </c>
      <c r="G37" t="str">
        <f t="shared" ca="1" si="1"/>
        <v>00_24 Hours</v>
      </c>
    </row>
    <row r="38" spans="2:7" x14ac:dyDescent="0.4">
      <c r="B38" s="2">
        <v>46211.143750000003</v>
      </c>
      <c r="D38" t="s">
        <v>40</v>
      </c>
      <c r="F38">
        <f t="shared" ca="1" si="0"/>
        <v>12.549867592591909</v>
      </c>
      <c r="G38" t="str">
        <f t="shared" ca="1" si="1"/>
        <v>11_15 Days</v>
      </c>
    </row>
    <row r="39" spans="2:7" x14ac:dyDescent="0.4">
      <c r="B39" s="2">
        <v>46153.835416666669</v>
      </c>
      <c r="D39" t="s">
        <v>40</v>
      </c>
      <c r="F39">
        <f t="shared" ca="1" si="0"/>
        <v>69.858200925926212</v>
      </c>
      <c r="G39" t="str">
        <f t="shared" ca="1" si="1"/>
        <v>&gt;60 Days</v>
      </c>
    </row>
    <row r="40" spans="2:7" x14ac:dyDescent="0.4">
      <c r="B40" s="2">
        <v>46223.559027777781</v>
      </c>
      <c r="D40" t="s">
        <v>40</v>
      </c>
      <c r="F40">
        <f t="shared" ca="1" si="0"/>
        <v>0.13458981481380761</v>
      </c>
      <c r="G40" t="str">
        <f t="shared" ca="1" si="1"/>
        <v>00_24 Hours</v>
      </c>
    </row>
    <row r="41" spans="2:7" x14ac:dyDescent="0.4">
      <c r="B41" s="2">
        <v>46223.509027777778</v>
      </c>
      <c r="D41" t="s">
        <v>40</v>
      </c>
      <c r="F41">
        <f t="shared" ca="1" si="0"/>
        <v>0.18458981481671799</v>
      </c>
      <c r="G41" t="str">
        <f t="shared" ca="1" si="1"/>
        <v>00_24 Hours</v>
      </c>
    </row>
    <row r="42" spans="2:7" x14ac:dyDescent="0.4">
      <c r="B42" s="2">
        <v>46223.431944444441</v>
      </c>
      <c r="D42" t="s">
        <v>40</v>
      </c>
      <c r="F42">
        <f t="shared" ca="1" si="0"/>
        <v>0.26167314815393183</v>
      </c>
      <c r="G42" t="str">
        <f t="shared" ca="1" si="1"/>
        <v>00_24 Hours</v>
      </c>
    </row>
    <row r="43" spans="2:7" x14ac:dyDescent="0.4">
      <c r="B43" s="2">
        <v>46188.724999999999</v>
      </c>
      <c r="D43" t="s">
        <v>40</v>
      </c>
      <c r="F43">
        <f t="shared" ca="1" si="0"/>
        <v>34.968617592596274</v>
      </c>
      <c r="G43" t="str">
        <f t="shared" ca="1" si="1"/>
        <v>31_60 Days</v>
      </c>
    </row>
    <row r="44" spans="2:7" x14ac:dyDescent="0.4">
      <c r="B44" s="2">
        <v>46219.081944444442</v>
      </c>
      <c r="D44" t="s">
        <v>40</v>
      </c>
      <c r="F44">
        <f t="shared" ca="1" si="0"/>
        <v>4.6116731481524766</v>
      </c>
      <c r="G44" t="str">
        <f t="shared" ca="1" si="1"/>
        <v>04_05 Days</v>
      </c>
    </row>
    <row r="45" spans="2:7" x14ac:dyDescent="0.4">
      <c r="B45" s="2">
        <v>46223.523611111108</v>
      </c>
      <c r="D45" t="s">
        <v>40</v>
      </c>
      <c r="F45">
        <f t="shared" ca="1" si="0"/>
        <v>0.1700064814867801</v>
      </c>
      <c r="G45" t="str">
        <f t="shared" ca="1" si="1"/>
        <v>00_24 Hours</v>
      </c>
    </row>
    <row r="46" spans="2:7" x14ac:dyDescent="0.4">
      <c r="B46" s="2">
        <v>46223.48333333333</v>
      </c>
      <c r="D46" t="s">
        <v>40</v>
      </c>
      <c r="F46">
        <f t="shared" ca="1" si="0"/>
        <v>0.21028425926488126</v>
      </c>
      <c r="G46" t="str">
        <f t="shared" ca="1" si="1"/>
        <v>00_24 Hours</v>
      </c>
    </row>
    <row r="47" spans="2:7" x14ac:dyDescent="0.4">
      <c r="B47" s="2">
        <v>46223.490972222222</v>
      </c>
      <c r="D47" t="s">
        <v>40</v>
      </c>
      <c r="F47">
        <f t="shared" ca="1" si="0"/>
        <v>0.2026453703729203</v>
      </c>
      <c r="G47" t="str">
        <f t="shared" ca="1" si="1"/>
        <v>00_24 Hours</v>
      </c>
    </row>
    <row r="48" spans="2:7" x14ac:dyDescent="0.4">
      <c r="B48" s="2">
        <v>46219.645138888889</v>
      </c>
      <c r="D48" t="s">
        <v>40</v>
      </c>
      <c r="F48">
        <f t="shared" ca="1" si="0"/>
        <v>4.0484787037057686</v>
      </c>
      <c r="G48" t="str">
        <f t="shared" ca="1" si="1"/>
        <v>04_05 Days</v>
      </c>
    </row>
    <row r="49" spans="2:7" x14ac:dyDescent="0.4">
      <c r="B49" s="2">
        <v>46217.705555555556</v>
      </c>
      <c r="D49" t="s">
        <v>40</v>
      </c>
      <c r="F49">
        <f t="shared" ca="1" si="0"/>
        <v>5.9880620370386168</v>
      </c>
      <c r="G49" t="str">
        <f t="shared" ca="1" si="1"/>
        <v>06_10 Days</v>
      </c>
    </row>
    <row r="50" spans="2:7" x14ac:dyDescent="0.4">
      <c r="B50" s="2">
        <v>46212.65625</v>
      </c>
      <c r="D50" t="s">
        <v>40</v>
      </c>
      <c r="F50">
        <f t="shared" ca="1" si="0"/>
        <v>11.037367592594819</v>
      </c>
      <c r="G50" t="str">
        <f t="shared" ca="1" si="1"/>
        <v>11_15 Days</v>
      </c>
    </row>
    <row r="51" spans="2:7" x14ac:dyDescent="0.4">
      <c r="B51" s="2">
        <v>46211.199999999997</v>
      </c>
      <c r="D51" t="s">
        <v>40</v>
      </c>
      <c r="F51">
        <f t="shared" ca="1" si="0"/>
        <v>12.49361759259773</v>
      </c>
      <c r="G51" t="str">
        <f t="shared" ca="1" si="1"/>
        <v>11_15 Days</v>
      </c>
    </row>
    <row r="52" spans="2:7" x14ac:dyDescent="0.4">
      <c r="B52" s="2">
        <v>46219.913194444445</v>
      </c>
      <c r="D52" t="s">
        <v>40</v>
      </c>
      <c r="F52">
        <f t="shared" ca="1" si="0"/>
        <v>3.7804231481495663</v>
      </c>
      <c r="G52" t="str">
        <f t="shared" ca="1" si="1"/>
        <v>04_05 Days</v>
      </c>
    </row>
    <row r="53" spans="2:7" x14ac:dyDescent="0.4">
      <c r="B53" s="2">
        <v>46218.287499999999</v>
      </c>
      <c r="D53" t="s">
        <v>40</v>
      </c>
      <c r="F53">
        <f t="shared" ca="1" si="0"/>
        <v>5.4061175925962743</v>
      </c>
      <c r="G53" t="str">
        <f t="shared" ca="1" si="1"/>
        <v>06_10 Days</v>
      </c>
    </row>
    <row r="54" spans="2:7" x14ac:dyDescent="0.4">
      <c r="B54" s="2">
        <v>46220.788888888892</v>
      </c>
      <c r="D54" t="s">
        <v>40</v>
      </c>
      <c r="F54">
        <f t="shared" ca="1" si="0"/>
        <v>2.9047287037028582</v>
      </c>
      <c r="G54" t="str">
        <f t="shared" ca="1" si="1"/>
        <v>01_03 Days</v>
      </c>
    </row>
    <row r="55" spans="2:7" x14ac:dyDescent="0.4">
      <c r="B55" s="2">
        <v>46211.883333333331</v>
      </c>
      <c r="D55" t="s">
        <v>40</v>
      </c>
      <c r="F55">
        <f t="shared" ca="1" si="0"/>
        <v>11.810284259263426</v>
      </c>
      <c r="G55" t="str">
        <f t="shared" ca="1" si="1"/>
        <v>11_15 Days</v>
      </c>
    </row>
    <row r="56" spans="2:7" x14ac:dyDescent="0.4">
      <c r="B56" s="2">
        <v>46209.919444444444</v>
      </c>
      <c r="D56" t="s">
        <v>40</v>
      </c>
      <c r="F56">
        <f t="shared" ca="1" si="0"/>
        <v>13.774173148151021</v>
      </c>
      <c r="G56" t="str">
        <f t="shared" ca="1" si="1"/>
        <v>11_15 Days</v>
      </c>
    </row>
    <row r="57" spans="2:7" x14ac:dyDescent="0.4">
      <c r="B57" s="2">
        <v>46218.849305555559</v>
      </c>
      <c r="D57" t="s">
        <v>40</v>
      </c>
      <c r="F57">
        <f t="shared" ca="1" si="0"/>
        <v>4.8443120370357065</v>
      </c>
      <c r="G57" t="str">
        <f t="shared" ca="1" si="1"/>
        <v>04_05 Days</v>
      </c>
    </row>
    <row r="58" spans="2:7" x14ac:dyDescent="0.4">
      <c r="B58" s="2">
        <v>46223.320833333331</v>
      </c>
      <c r="D58" t="s">
        <v>40</v>
      </c>
      <c r="F58">
        <f t="shared" ca="1" si="0"/>
        <v>0.37278425926342607</v>
      </c>
      <c r="G58" t="str">
        <f t="shared" ca="1" si="1"/>
        <v>00_24 Hours</v>
      </c>
    </row>
    <row r="59" spans="2:7" x14ac:dyDescent="0.4">
      <c r="B59" s="2">
        <v>46220.737500000003</v>
      </c>
      <c r="D59" t="s">
        <v>40</v>
      </c>
      <c r="F59">
        <f t="shared" ca="1" si="0"/>
        <v>2.9561175925919088</v>
      </c>
      <c r="G59" t="str">
        <f t="shared" ca="1" si="1"/>
        <v>01_03 Days</v>
      </c>
    </row>
    <row r="60" spans="2:7" x14ac:dyDescent="0.4">
      <c r="B60" s="2">
        <v>46223.481944444444</v>
      </c>
      <c r="D60" t="s">
        <v>40</v>
      </c>
      <c r="F60">
        <f t="shared" ca="1" si="0"/>
        <v>0.21167314815102145</v>
      </c>
      <c r="G60" t="str">
        <f t="shared" ca="1" si="1"/>
        <v>00_24 Hours</v>
      </c>
    </row>
    <row r="61" spans="2:7" x14ac:dyDescent="0.4">
      <c r="B61" s="2">
        <v>46219.698611111111</v>
      </c>
      <c r="D61" t="s">
        <v>40</v>
      </c>
      <c r="F61">
        <f t="shared" ca="1" si="0"/>
        <v>3.9950064814838697</v>
      </c>
      <c r="G61" t="str">
        <f t="shared" ca="1" si="1"/>
        <v>04_05 Days</v>
      </c>
    </row>
    <row r="62" spans="2:7" x14ac:dyDescent="0.4">
      <c r="B62" s="2">
        <v>46218.459722222222</v>
      </c>
      <c r="D62" t="s">
        <v>40</v>
      </c>
      <c r="F62">
        <f t="shared" ca="1" si="0"/>
        <v>5.2338953703729203</v>
      </c>
      <c r="G62" t="str">
        <f t="shared" ca="1" si="1"/>
        <v>06_10 Days</v>
      </c>
    </row>
    <row r="63" spans="2:7" x14ac:dyDescent="0.4">
      <c r="B63" s="2">
        <v>46212.638888888891</v>
      </c>
      <c r="D63" t="s">
        <v>40</v>
      </c>
      <c r="F63">
        <f t="shared" ca="1" si="0"/>
        <v>11.054728703704313</v>
      </c>
      <c r="G63" t="str">
        <f t="shared" ca="1" si="1"/>
        <v>11_15 Days</v>
      </c>
    </row>
    <row r="64" spans="2:7" x14ac:dyDescent="0.4">
      <c r="B64" s="2">
        <v>46218.870138888888</v>
      </c>
      <c r="D64" t="s">
        <v>40</v>
      </c>
      <c r="F64">
        <f t="shared" ca="1" si="0"/>
        <v>4.8234787037072238</v>
      </c>
      <c r="G64" t="str">
        <f t="shared" ca="1" si="1"/>
        <v>04_05 Days</v>
      </c>
    </row>
    <row r="65" spans="2:7" x14ac:dyDescent="0.4">
      <c r="B65" s="2">
        <v>46216.838194444441</v>
      </c>
      <c r="D65" t="s">
        <v>40</v>
      </c>
      <c r="F65">
        <f t="shared" ca="1" si="0"/>
        <v>6.8554231481539318</v>
      </c>
      <c r="G65" t="str">
        <f t="shared" ca="1" si="1"/>
        <v>06_10 Days</v>
      </c>
    </row>
    <row r="66" spans="2:7" x14ac:dyDescent="0.4">
      <c r="B66" s="2">
        <v>46209.773611111108</v>
      </c>
      <c r="D66" t="s">
        <v>40</v>
      </c>
      <c r="F66">
        <f t="shared" ca="1" si="0"/>
        <v>13.92000648148678</v>
      </c>
      <c r="G66" t="str">
        <f t="shared" ca="1" si="1"/>
        <v>11_15 Days</v>
      </c>
    </row>
    <row r="67" spans="2:7" x14ac:dyDescent="0.4">
      <c r="B67" s="2">
        <v>46223.398611111108</v>
      </c>
      <c r="D67" t="s">
        <v>40</v>
      </c>
      <c r="F67">
        <f t="shared" ref="F67:F130" ca="1" si="2">IF(D67="Open",NOW()-B67,"")</f>
        <v>0.2950064814867801</v>
      </c>
      <c r="G67" t="str">
        <f t="shared" ref="G67:G130" ca="1" si="3">IF(D67&lt;&gt;"Open","",IF(F67&lt;=1,"00_24 Hours",IF(F67&lt;=3,"01_03 Days",IF(F67&lt;=5,"04_05 Days",IF(F67&lt;=10,"06_10 Days",IF(F67&lt;=15,"11_15 Days",IF(F67&lt;=30,"16_30 Days",IF(F67&lt;=60,"31_60 Days","&gt;60 Days"))))))))</f>
        <v>00_24 Hours</v>
      </c>
    </row>
    <row r="68" spans="2:7" x14ac:dyDescent="0.4">
      <c r="B68" s="2">
        <v>46219.431250000001</v>
      </c>
      <c r="D68" t="s">
        <v>40</v>
      </c>
      <c r="F68">
        <f t="shared" ca="1" si="2"/>
        <v>4.262367592593364</v>
      </c>
      <c r="G68" t="str">
        <f t="shared" ca="1" si="3"/>
        <v>04_05 Days</v>
      </c>
    </row>
    <row r="69" spans="2:7" x14ac:dyDescent="0.4">
      <c r="B69" s="2">
        <v>46220.517361111109</v>
      </c>
      <c r="D69" t="s">
        <v>40</v>
      </c>
      <c r="F69">
        <f t="shared" ca="1" si="2"/>
        <v>3.1762564814853249</v>
      </c>
      <c r="G69" t="str">
        <f t="shared" ca="1" si="3"/>
        <v>04_05 Days</v>
      </c>
    </row>
    <row r="70" spans="2:7" x14ac:dyDescent="0.4">
      <c r="B70" s="2">
        <v>46213.37222222222</v>
      </c>
      <c r="D70" t="s">
        <v>40</v>
      </c>
      <c r="F70">
        <f t="shared" ca="1" si="2"/>
        <v>10.321395370374375</v>
      </c>
      <c r="G70" t="str">
        <f t="shared" ca="1" si="3"/>
        <v>11_15 Days</v>
      </c>
    </row>
    <row r="71" spans="2:7" x14ac:dyDescent="0.4">
      <c r="B71" s="2">
        <v>46221.438888888886</v>
      </c>
      <c r="D71" t="s">
        <v>40</v>
      </c>
      <c r="F71">
        <f t="shared" ca="1" si="2"/>
        <v>2.2547287037086789</v>
      </c>
      <c r="G71" t="str">
        <f t="shared" ca="1" si="3"/>
        <v>01_03 Days</v>
      </c>
    </row>
    <row r="72" spans="2:7" x14ac:dyDescent="0.4">
      <c r="B72" s="2">
        <v>46221.181944444441</v>
      </c>
      <c r="D72" t="s">
        <v>40</v>
      </c>
      <c r="F72">
        <f t="shared" ca="1" si="2"/>
        <v>2.5116731481539318</v>
      </c>
      <c r="G72" t="str">
        <f t="shared" ca="1" si="3"/>
        <v>01_03 Days</v>
      </c>
    </row>
    <row r="73" spans="2:7" x14ac:dyDescent="0.4">
      <c r="B73" s="2">
        <v>46198.493750000001</v>
      </c>
      <c r="D73" t="s">
        <v>40</v>
      </c>
      <c r="F73">
        <f t="shared" ca="1" si="2"/>
        <v>25.199867592593364</v>
      </c>
      <c r="G73" t="str">
        <f t="shared" ca="1" si="3"/>
        <v>16_30 Days</v>
      </c>
    </row>
    <row r="74" spans="2:7" x14ac:dyDescent="0.4">
      <c r="B74" s="2">
        <v>46217.816666666666</v>
      </c>
      <c r="D74" t="s">
        <v>40</v>
      </c>
      <c r="F74">
        <f t="shared" ca="1" si="2"/>
        <v>5.8769509259291226</v>
      </c>
      <c r="G74" t="str">
        <f t="shared" ca="1" si="3"/>
        <v>06_10 Days</v>
      </c>
    </row>
    <row r="75" spans="2:7" x14ac:dyDescent="0.4">
      <c r="B75" s="2">
        <v>46219.083333333336</v>
      </c>
      <c r="D75" t="s">
        <v>40</v>
      </c>
      <c r="F75">
        <f t="shared" ca="1" si="2"/>
        <v>4.6102842592590605</v>
      </c>
      <c r="G75" t="str">
        <f t="shared" ca="1" si="3"/>
        <v>04_05 Days</v>
      </c>
    </row>
    <row r="76" spans="2:7" x14ac:dyDescent="0.4">
      <c r="B76" s="2">
        <v>46204.375</v>
      </c>
      <c r="D76" t="s">
        <v>40</v>
      </c>
      <c r="F76">
        <f t="shared" ca="1" si="2"/>
        <v>19.318617592594819</v>
      </c>
      <c r="G76" t="str">
        <f t="shared" ca="1" si="3"/>
        <v>16_30 Days</v>
      </c>
    </row>
    <row r="77" spans="2:7" x14ac:dyDescent="0.4">
      <c r="B77" s="2">
        <v>46219.006944444445</v>
      </c>
      <c r="D77" t="s">
        <v>40</v>
      </c>
      <c r="F77">
        <f t="shared" ca="1" si="2"/>
        <v>4.6866731481495663</v>
      </c>
      <c r="G77" t="str">
        <f t="shared" ca="1" si="3"/>
        <v>04_05 Days</v>
      </c>
    </row>
    <row r="78" spans="2:7" x14ac:dyDescent="0.4">
      <c r="B78" s="2">
        <v>46219.128472222219</v>
      </c>
      <c r="D78" t="s">
        <v>40</v>
      </c>
      <c r="F78">
        <f t="shared" ca="1" si="2"/>
        <v>4.5651453703758307</v>
      </c>
      <c r="G78" t="str">
        <f t="shared" ca="1" si="3"/>
        <v>04_05 Days</v>
      </c>
    </row>
    <row r="79" spans="2:7" x14ac:dyDescent="0.4">
      <c r="B79" s="2">
        <v>46218.129861111112</v>
      </c>
      <c r="D79" t="s">
        <v>40</v>
      </c>
      <c r="F79">
        <f t="shared" ca="1" si="2"/>
        <v>5.5637564814824145</v>
      </c>
      <c r="G79" t="str">
        <f t="shared" ca="1" si="3"/>
        <v>06_10 Days</v>
      </c>
    </row>
    <row r="80" spans="2:7" x14ac:dyDescent="0.4">
      <c r="B80" s="2">
        <v>46218.779861111114</v>
      </c>
      <c r="D80" t="s">
        <v>40</v>
      </c>
      <c r="F80">
        <f t="shared" ca="1" si="2"/>
        <v>4.9137564814809593</v>
      </c>
      <c r="G80" t="str">
        <f t="shared" ca="1" si="3"/>
        <v>04_05 Days</v>
      </c>
    </row>
    <row r="81" spans="2:7" x14ac:dyDescent="0.4">
      <c r="B81" s="2">
        <v>46205.254166666666</v>
      </c>
      <c r="D81" t="s">
        <v>40</v>
      </c>
      <c r="F81">
        <f t="shared" ca="1" si="2"/>
        <v>18.439450925929123</v>
      </c>
      <c r="G81" t="str">
        <f t="shared" ca="1" si="3"/>
        <v>16_30 Days</v>
      </c>
    </row>
    <row r="82" spans="2:7" x14ac:dyDescent="0.4">
      <c r="B82" s="2">
        <v>46216.888194444444</v>
      </c>
      <c r="D82" t="s">
        <v>40</v>
      </c>
      <c r="F82">
        <f t="shared" ca="1" si="2"/>
        <v>6.8054231481510215</v>
      </c>
      <c r="G82" t="str">
        <f t="shared" ca="1" si="3"/>
        <v>06_10 Days</v>
      </c>
    </row>
    <row r="83" spans="2:7" x14ac:dyDescent="0.4">
      <c r="B83" s="2">
        <v>46217.751388888886</v>
      </c>
      <c r="D83" t="s">
        <v>40</v>
      </c>
      <c r="F83">
        <f t="shared" ca="1" si="2"/>
        <v>5.9422287037086789</v>
      </c>
      <c r="G83" t="str">
        <f t="shared" ca="1" si="3"/>
        <v>06_10 Days</v>
      </c>
    </row>
    <row r="84" spans="2:7" x14ac:dyDescent="0.4">
      <c r="B84" s="2">
        <v>46220.885416666664</v>
      </c>
      <c r="D84" t="s">
        <v>40</v>
      </c>
      <c r="F84">
        <f t="shared" ca="1" si="2"/>
        <v>2.8082009259305778</v>
      </c>
      <c r="G84" t="str">
        <f t="shared" ca="1" si="3"/>
        <v>01_03 Days</v>
      </c>
    </row>
    <row r="85" spans="2:7" x14ac:dyDescent="0.4">
      <c r="B85" s="2">
        <v>46220.77847222222</v>
      </c>
      <c r="D85" t="s">
        <v>40</v>
      </c>
      <c r="F85">
        <f t="shared" ca="1" si="2"/>
        <v>2.9151453703743755</v>
      </c>
      <c r="G85" t="str">
        <f t="shared" ca="1" si="3"/>
        <v>01_03 Days</v>
      </c>
    </row>
    <row r="86" spans="2:7" x14ac:dyDescent="0.4">
      <c r="B86" s="2">
        <v>46220.882638888892</v>
      </c>
      <c r="D86" t="s">
        <v>40</v>
      </c>
      <c r="F86">
        <f t="shared" ca="1" si="2"/>
        <v>2.8109787037028582</v>
      </c>
      <c r="G86" t="str">
        <f t="shared" ca="1" si="3"/>
        <v>01_03 Days</v>
      </c>
    </row>
    <row r="87" spans="2:7" x14ac:dyDescent="0.4">
      <c r="B87" s="2">
        <v>46217.92083333333</v>
      </c>
      <c r="D87" t="s">
        <v>40</v>
      </c>
      <c r="F87">
        <f t="shared" ca="1" si="2"/>
        <v>5.7727842592648813</v>
      </c>
      <c r="G87" t="str">
        <f t="shared" ca="1" si="3"/>
        <v>06_10 Days</v>
      </c>
    </row>
    <row r="88" spans="2:7" x14ac:dyDescent="0.4">
      <c r="B88" s="2">
        <v>46190.402083333334</v>
      </c>
      <c r="D88" t="s">
        <v>40</v>
      </c>
      <c r="F88">
        <f t="shared" ca="1" si="2"/>
        <v>33.291534259260516</v>
      </c>
      <c r="G88" t="str">
        <f t="shared" ca="1" si="3"/>
        <v>31_60 Days</v>
      </c>
    </row>
    <row r="89" spans="2:7" x14ac:dyDescent="0.4">
      <c r="B89" s="2">
        <v>46202.554166666669</v>
      </c>
      <c r="D89" t="s">
        <v>40</v>
      </c>
      <c r="F89">
        <f t="shared" ca="1" si="2"/>
        <v>21.139450925926212</v>
      </c>
      <c r="G89" t="str">
        <f t="shared" ca="1" si="3"/>
        <v>16_30 Days</v>
      </c>
    </row>
    <row r="90" spans="2:7" x14ac:dyDescent="0.4">
      <c r="B90" s="2">
        <v>46220.181250000001</v>
      </c>
      <c r="D90" t="s">
        <v>40</v>
      </c>
      <c r="F90">
        <f t="shared" ca="1" si="2"/>
        <v>3.512367592593364</v>
      </c>
      <c r="G90" t="str">
        <f t="shared" ca="1" si="3"/>
        <v>04_05 Days</v>
      </c>
    </row>
    <row r="91" spans="2:7" x14ac:dyDescent="0.4">
      <c r="B91" s="2">
        <v>46220.709722222222</v>
      </c>
      <c r="D91" t="s">
        <v>40</v>
      </c>
      <c r="F91">
        <f t="shared" ca="1" si="2"/>
        <v>2.9838953703729203</v>
      </c>
      <c r="G91" t="str">
        <f t="shared" ca="1" si="3"/>
        <v>01_03 Days</v>
      </c>
    </row>
    <row r="92" spans="2:7" x14ac:dyDescent="0.4">
      <c r="B92" s="2">
        <v>46220.661805555559</v>
      </c>
      <c r="D92" t="s">
        <v>40</v>
      </c>
      <c r="F92">
        <f t="shared" ca="1" si="2"/>
        <v>3.0318120370357065</v>
      </c>
      <c r="G92" t="str">
        <f t="shared" ca="1" si="3"/>
        <v>04_05 Days</v>
      </c>
    </row>
    <row r="93" spans="2:7" x14ac:dyDescent="0.4">
      <c r="B93" s="2">
        <v>46220.642361111109</v>
      </c>
      <c r="D93" t="s">
        <v>40</v>
      </c>
      <c r="F93">
        <f t="shared" ca="1" si="2"/>
        <v>3.0512564814853249</v>
      </c>
      <c r="G93" t="str">
        <f t="shared" ca="1" si="3"/>
        <v>04_05 Days</v>
      </c>
    </row>
    <row r="94" spans="2:7" x14ac:dyDescent="0.4">
      <c r="B94" s="2">
        <v>46220.637499999997</v>
      </c>
      <c r="D94" t="s">
        <v>40</v>
      </c>
      <c r="F94">
        <f t="shared" ca="1" si="2"/>
        <v>3.0561175925977295</v>
      </c>
      <c r="G94" t="str">
        <f t="shared" ca="1" si="3"/>
        <v>04_05 Days</v>
      </c>
    </row>
    <row r="95" spans="2:7" x14ac:dyDescent="0.4">
      <c r="B95" s="2">
        <v>46202.770138888889</v>
      </c>
      <c r="D95" t="s">
        <v>40</v>
      </c>
      <c r="F95">
        <f t="shared" ca="1" si="2"/>
        <v>20.923478703705769</v>
      </c>
      <c r="G95" t="str">
        <f t="shared" ca="1" si="3"/>
        <v>16_30 Days</v>
      </c>
    </row>
    <row r="96" spans="2:7" x14ac:dyDescent="0.4">
      <c r="B96" s="2">
        <v>46218.734027777777</v>
      </c>
      <c r="D96" t="s">
        <v>40</v>
      </c>
      <c r="F96">
        <f t="shared" ca="1" si="2"/>
        <v>4.9595898148181732</v>
      </c>
      <c r="G96" t="str">
        <f t="shared" ca="1" si="3"/>
        <v>04_05 Days</v>
      </c>
    </row>
    <row r="97" spans="2:7" x14ac:dyDescent="0.4">
      <c r="B97" s="2">
        <v>46218.40902777778</v>
      </c>
      <c r="D97" t="s">
        <v>40</v>
      </c>
      <c r="F97">
        <f t="shared" ca="1" si="2"/>
        <v>5.2845898148152628</v>
      </c>
      <c r="G97" t="str">
        <f t="shared" ca="1" si="3"/>
        <v>06_10 Days</v>
      </c>
    </row>
    <row r="98" spans="2:7" x14ac:dyDescent="0.4">
      <c r="B98" s="2">
        <v>46219.291666666664</v>
      </c>
      <c r="D98" t="s">
        <v>40</v>
      </c>
      <c r="F98">
        <f t="shared" ca="1" si="2"/>
        <v>4.4019509259305778</v>
      </c>
      <c r="G98" t="str">
        <f t="shared" ca="1" si="3"/>
        <v>04_05 Days</v>
      </c>
    </row>
    <row r="99" spans="2:7" x14ac:dyDescent="0.4">
      <c r="B99" s="2">
        <v>46220.433333333334</v>
      </c>
      <c r="D99" t="s">
        <v>40</v>
      </c>
      <c r="F99">
        <f t="shared" ca="1" si="2"/>
        <v>3.2602842592605157</v>
      </c>
      <c r="G99" t="str">
        <f t="shared" ca="1" si="3"/>
        <v>04_05 Days</v>
      </c>
    </row>
    <row r="100" spans="2:7" x14ac:dyDescent="0.4">
      <c r="B100" s="2">
        <v>46220.4375</v>
      </c>
      <c r="D100" t="s">
        <v>40</v>
      </c>
      <c r="F100">
        <f t="shared" ca="1" si="2"/>
        <v>3.2561175925948191</v>
      </c>
      <c r="G100" t="str">
        <f t="shared" ca="1" si="3"/>
        <v>04_05 Days</v>
      </c>
    </row>
    <row r="101" spans="2:7" x14ac:dyDescent="0.4">
      <c r="B101" s="2">
        <v>46220.440972222219</v>
      </c>
      <c r="D101" t="s">
        <v>40</v>
      </c>
      <c r="F101">
        <f t="shared" ca="1" si="2"/>
        <v>3.2526453703758307</v>
      </c>
      <c r="G101" t="str">
        <f t="shared" ca="1" si="3"/>
        <v>04_05 Days</v>
      </c>
    </row>
    <row r="102" spans="2:7" x14ac:dyDescent="0.4">
      <c r="B102" s="2">
        <v>46220.400694444441</v>
      </c>
      <c r="D102" t="s">
        <v>40</v>
      </c>
      <c r="F102">
        <f t="shared" ca="1" si="2"/>
        <v>3.2929231481539318</v>
      </c>
      <c r="G102" t="str">
        <f t="shared" ca="1" si="3"/>
        <v>04_05 Days</v>
      </c>
    </row>
    <row r="103" spans="2:7" x14ac:dyDescent="0.4">
      <c r="B103" s="2">
        <v>46219.354861111111</v>
      </c>
      <c r="D103" t="s">
        <v>40</v>
      </c>
      <c r="F103">
        <f t="shared" ca="1" si="2"/>
        <v>4.3387564814838697</v>
      </c>
      <c r="G103" t="str">
        <f t="shared" ca="1" si="3"/>
        <v>04_05 Days</v>
      </c>
    </row>
    <row r="104" spans="2:7" x14ac:dyDescent="0.4">
      <c r="B104" s="2">
        <v>46220.25</v>
      </c>
      <c r="D104" t="s">
        <v>40</v>
      </c>
      <c r="F104">
        <f t="shared" ca="1" si="2"/>
        <v>3.4436175925948191</v>
      </c>
      <c r="G104" t="str">
        <f t="shared" ca="1" si="3"/>
        <v>04_05 Days</v>
      </c>
    </row>
    <row r="105" spans="2:7" x14ac:dyDescent="0.4">
      <c r="B105" s="2">
        <v>46219.784722222219</v>
      </c>
      <c r="D105" t="s">
        <v>40</v>
      </c>
      <c r="F105">
        <f t="shared" ca="1" si="2"/>
        <v>3.9088953703758307</v>
      </c>
      <c r="G105" t="str">
        <f t="shared" ca="1" si="3"/>
        <v>04_05 Days</v>
      </c>
    </row>
    <row r="106" spans="2:7" x14ac:dyDescent="0.4">
      <c r="B106" s="2">
        <v>46219.127083333333</v>
      </c>
      <c r="D106" t="s">
        <v>40</v>
      </c>
      <c r="F106">
        <f t="shared" ca="1" si="2"/>
        <v>4.5665342592619709</v>
      </c>
      <c r="G106" t="str">
        <f t="shared" ca="1" si="3"/>
        <v>04_05 Days</v>
      </c>
    </row>
    <row r="107" spans="2:7" x14ac:dyDescent="0.4">
      <c r="B107" s="2">
        <v>46219.865972222222</v>
      </c>
      <c r="D107" t="s">
        <v>40</v>
      </c>
      <c r="F107">
        <f t="shared" ca="1" si="2"/>
        <v>3.8276453703729203</v>
      </c>
      <c r="G107" t="str">
        <f t="shared" ca="1" si="3"/>
        <v>04_05 Days</v>
      </c>
    </row>
    <row r="108" spans="2:7" x14ac:dyDescent="0.4">
      <c r="B108" s="2">
        <v>46216.69027777778</v>
      </c>
      <c r="D108" t="s">
        <v>40</v>
      </c>
      <c r="F108">
        <f t="shared" ca="1" si="2"/>
        <v>7.0033398148152628</v>
      </c>
      <c r="G108" t="str">
        <f t="shared" ca="1" si="3"/>
        <v>06_10 Days</v>
      </c>
    </row>
    <row r="109" spans="2:7" x14ac:dyDescent="0.4">
      <c r="B109" s="2">
        <v>46219.713888888888</v>
      </c>
      <c r="D109" t="s">
        <v>40</v>
      </c>
      <c r="F109">
        <f t="shared" ca="1" si="2"/>
        <v>3.9797287037072238</v>
      </c>
      <c r="G109" t="str">
        <f t="shared" ca="1" si="3"/>
        <v>04_05 Days</v>
      </c>
    </row>
    <row r="110" spans="2:7" x14ac:dyDescent="0.4">
      <c r="B110" s="2">
        <v>46219.524305555555</v>
      </c>
      <c r="D110" t="s">
        <v>40</v>
      </c>
      <c r="F110">
        <f t="shared" ca="1" si="2"/>
        <v>4.169312037040072</v>
      </c>
      <c r="G110" t="str">
        <f t="shared" ca="1" si="3"/>
        <v>04_05 Days</v>
      </c>
    </row>
    <row r="111" spans="2:7" x14ac:dyDescent="0.4">
      <c r="B111" s="2">
        <v>46197.613194444442</v>
      </c>
      <c r="D111" t="s">
        <v>40</v>
      </c>
      <c r="F111">
        <f t="shared" ca="1" si="2"/>
        <v>26.080423148152477</v>
      </c>
      <c r="G111" t="str">
        <f t="shared" ca="1" si="3"/>
        <v>16_30 Days</v>
      </c>
    </row>
    <row r="112" spans="2:7" x14ac:dyDescent="0.4">
      <c r="B112" s="2">
        <v>46219.49722222222</v>
      </c>
      <c r="D112" t="s">
        <v>40</v>
      </c>
      <c r="F112">
        <f t="shared" ca="1" si="2"/>
        <v>4.1963953703743755</v>
      </c>
      <c r="G112" t="str">
        <f t="shared" ca="1" si="3"/>
        <v>04_05 Days</v>
      </c>
    </row>
    <row r="113" spans="2:7" x14ac:dyDescent="0.4">
      <c r="B113" s="2">
        <v>46218.827777777777</v>
      </c>
      <c r="D113" t="s">
        <v>40</v>
      </c>
      <c r="F113">
        <f t="shared" ca="1" si="2"/>
        <v>4.8658398148181732</v>
      </c>
      <c r="G113" t="str">
        <f t="shared" ca="1" si="3"/>
        <v>04_05 Days</v>
      </c>
    </row>
    <row r="114" spans="2:7" x14ac:dyDescent="0.4">
      <c r="B114" s="2">
        <v>46218.840277777781</v>
      </c>
      <c r="D114" t="s">
        <v>40</v>
      </c>
      <c r="F114">
        <f t="shared" ca="1" si="2"/>
        <v>4.8533398148138076</v>
      </c>
      <c r="G114" t="str">
        <f t="shared" ca="1" si="3"/>
        <v>04_05 Days</v>
      </c>
    </row>
    <row r="115" spans="2:7" x14ac:dyDescent="0.4">
      <c r="B115" s="2">
        <v>46219.554861111108</v>
      </c>
      <c r="D115" t="s">
        <v>40</v>
      </c>
      <c r="F115">
        <f t="shared" ca="1" si="2"/>
        <v>4.1387564814867801</v>
      </c>
      <c r="G115" t="str">
        <f t="shared" ca="1" si="3"/>
        <v>04_05 Days</v>
      </c>
    </row>
    <row r="116" spans="2:7" x14ac:dyDescent="0.4">
      <c r="B116" s="2">
        <v>46175.211111111108</v>
      </c>
      <c r="D116" t="s">
        <v>40</v>
      </c>
      <c r="F116">
        <f t="shared" ca="1" si="2"/>
        <v>48.48250648148678</v>
      </c>
      <c r="G116" t="str">
        <f t="shared" ca="1" si="3"/>
        <v>31_60 Days</v>
      </c>
    </row>
    <row r="117" spans="2:7" x14ac:dyDescent="0.4">
      <c r="B117" s="2">
        <v>46218.824999999997</v>
      </c>
      <c r="D117" t="s">
        <v>40</v>
      </c>
      <c r="F117">
        <f t="shared" ca="1" si="2"/>
        <v>4.8686175925977295</v>
      </c>
      <c r="G117" t="str">
        <f t="shared" ca="1" si="3"/>
        <v>04_05 Days</v>
      </c>
    </row>
    <row r="118" spans="2:7" x14ac:dyDescent="0.4">
      <c r="B118" s="2">
        <v>46216.80972222222</v>
      </c>
      <c r="D118" t="s">
        <v>40</v>
      </c>
      <c r="F118">
        <f t="shared" ca="1" si="2"/>
        <v>6.8838953703743755</v>
      </c>
      <c r="G118" t="str">
        <f t="shared" ca="1" si="3"/>
        <v>06_10 Days</v>
      </c>
    </row>
    <row r="119" spans="2:7" x14ac:dyDescent="0.4">
      <c r="B119" s="2">
        <v>46218.847916666666</v>
      </c>
      <c r="D119" t="s">
        <v>40</v>
      </c>
      <c r="F119">
        <f t="shared" ca="1" si="2"/>
        <v>4.8457009259291226</v>
      </c>
      <c r="G119" t="str">
        <f t="shared" ca="1" si="3"/>
        <v>04_05 Days</v>
      </c>
    </row>
    <row r="120" spans="2:7" x14ac:dyDescent="0.4">
      <c r="B120" s="2">
        <v>46218.848611111112</v>
      </c>
      <c r="D120" t="s">
        <v>40</v>
      </c>
      <c r="F120">
        <f t="shared" ca="1" si="2"/>
        <v>4.8450064814824145</v>
      </c>
      <c r="G120" t="str">
        <f t="shared" ca="1" si="3"/>
        <v>04_05 Days</v>
      </c>
    </row>
    <row r="121" spans="2:7" x14ac:dyDescent="0.4">
      <c r="B121" s="2">
        <v>46218.538194444445</v>
      </c>
      <c r="D121" t="s">
        <v>40</v>
      </c>
      <c r="F121">
        <f t="shared" ca="1" si="2"/>
        <v>5.1554231481495663</v>
      </c>
      <c r="G121" t="str">
        <f t="shared" ca="1" si="3"/>
        <v>06_10 Days</v>
      </c>
    </row>
    <row r="122" spans="2:7" x14ac:dyDescent="0.4">
      <c r="B122" s="2">
        <v>46199.911111111112</v>
      </c>
      <c r="D122" t="s">
        <v>40</v>
      </c>
      <c r="F122">
        <f t="shared" ca="1" si="2"/>
        <v>23.782506481482415</v>
      </c>
      <c r="G122" t="str">
        <f t="shared" ca="1" si="3"/>
        <v>16_30 Days</v>
      </c>
    </row>
    <row r="123" spans="2:7" x14ac:dyDescent="0.4">
      <c r="B123" s="2">
        <v>46217.819444444445</v>
      </c>
      <c r="D123" t="s">
        <v>40</v>
      </c>
      <c r="F123">
        <f t="shared" ca="1" si="2"/>
        <v>5.8741731481495663</v>
      </c>
      <c r="G123" t="str">
        <f t="shared" ca="1" si="3"/>
        <v>06_10 Days</v>
      </c>
    </row>
    <row r="124" spans="2:7" x14ac:dyDescent="0.4">
      <c r="B124" s="2">
        <v>46217.456944444442</v>
      </c>
      <c r="D124" t="s">
        <v>40</v>
      </c>
      <c r="F124">
        <f t="shared" ca="1" si="2"/>
        <v>6.2366731481524766</v>
      </c>
      <c r="G124" t="str">
        <f t="shared" ca="1" si="3"/>
        <v>06_10 Days</v>
      </c>
    </row>
    <row r="125" spans="2:7" x14ac:dyDescent="0.4">
      <c r="B125" s="2">
        <v>46216.560416666667</v>
      </c>
      <c r="D125" t="s">
        <v>40</v>
      </c>
      <c r="F125">
        <f t="shared" ca="1" si="2"/>
        <v>7.1332009259276674</v>
      </c>
      <c r="G125" t="str">
        <f t="shared" ca="1" si="3"/>
        <v>06_10 Days</v>
      </c>
    </row>
    <row r="126" spans="2:7" x14ac:dyDescent="0.4">
      <c r="B126" s="2">
        <v>46210.818749999999</v>
      </c>
      <c r="D126" t="s">
        <v>40</v>
      </c>
      <c r="F126">
        <f t="shared" ca="1" si="2"/>
        <v>12.874867592596274</v>
      </c>
      <c r="G126" t="str">
        <f t="shared" ca="1" si="3"/>
        <v>11_15 Days</v>
      </c>
    </row>
    <row r="127" spans="2:7" x14ac:dyDescent="0.4">
      <c r="B127" s="2">
        <v>46210.040277777778</v>
      </c>
      <c r="D127" t="s">
        <v>40</v>
      </c>
      <c r="F127">
        <f t="shared" ca="1" si="2"/>
        <v>13.653339814816718</v>
      </c>
      <c r="G127" t="str">
        <f t="shared" ca="1" si="3"/>
        <v>11_15 Days</v>
      </c>
    </row>
    <row r="128" spans="2:7" x14ac:dyDescent="0.4">
      <c r="B128" s="2">
        <v>46209.849305555559</v>
      </c>
      <c r="D128" t="s">
        <v>40</v>
      </c>
      <c r="F128">
        <f t="shared" ca="1" si="2"/>
        <v>13.844312037035706</v>
      </c>
      <c r="G128" t="str">
        <f t="shared" ca="1" si="3"/>
        <v>11_15 Days</v>
      </c>
    </row>
    <row r="129" spans="2:7" x14ac:dyDescent="0.4">
      <c r="B129" s="2">
        <v>46205.103472222225</v>
      </c>
      <c r="D129" t="s">
        <v>40</v>
      </c>
      <c r="F129">
        <f t="shared" ca="1" si="2"/>
        <v>18.59014537037001</v>
      </c>
      <c r="G129" t="str">
        <f t="shared" ca="1" si="3"/>
        <v>16_30 Days</v>
      </c>
    </row>
    <row r="130" spans="2:7" x14ac:dyDescent="0.4">
      <c r="B130" s="2">
        <v>46214.07708333333</v>
      </c>
      <c r="D130" t="s">
        <v>40</v>
      </c>
      <c r="F130">
        <f t="shared" ca="1" si="2"/>
        <v>9.6165342592648813</v>
      </c>
      <c r="G130" t="str">
        <f t="shared" ca="1" si="3"/>
        <v>06_10 Days</v>
      </c>
    </row>
    <row r="131" spans="2:7" x14ac:dyDescent="0.4">
      <c r="B131" s="2">
        <v>46171.248611111114</v>
      </c>
      <c r="D131" t="s">
        <v>40</v>
      </c>
      <c r="F131">
        <f t="shared" ref="F131:F163" ca="1" si="4">IF(D131="Open",NOW()-B131,"")</f>
        <v>52.445006481480959</v>
      </c>
      <c r="G131" t="str">
        <f t="shared" ref="G131:G163" ca="1" si="5">IF(D131&lt;&gt;"Open","",IF(F131&lt;=1,"00_24 Hours",IF(F131&lt;=3,"01_03 Days",IF(F131&lt;=5,"04_05 Days",IF(F131&lt;=10,"06_10 Days",IF(F131&lt;=15,"11_15 Days",IF(F131&lt;=30,"16_30 Days",IF(F131&lt;=60,"31_60 Days","&gt;60 Days"))))))))</f>
        <v>31_60 Days</v>
      </c>
    </row>
    <row r="132" spans="2:7" x14ac:dyDescent="0.4">
      <c r="B132" s="2">
        <v>46206.832638888889</v>
      </c>
      <c r="D132" t="s">
        <v>40</v>
      </c>
      <c r="F132">
        <f t="shared" ca="1" si="4"/>
        <v>16.860978703705769</v>
      </c>
      <c r="G132" t="str">
        <f t="shared" ca="1" si="5"/>
        <v>16_30 Days</v>
      </c>
    </row>
    <row r="133" spans="2:7" x14ac:dyDescent="0.4">
      <c r="B133" s="2">
        <v>46213.377083333333</v>
      </c>
      <c r="D133" t="s">
        <v>40</v>
      </c>
      <c r="F133">
        <f t="shared" ca="1" si="4"/>
        <v>10.316534259261971</v>
      </c>
      <c r="G133" t="str">
        <f t="shared" ca="1" si="5"/>
        <v>11_15 Days</v>
      </c>
    </row>
    <row r="134" spans="2:7" x14ac:dyDescent="0.4">
      <c r="B134" s="2">
        <v>46213.861805555556</v>
      </c>
      <c r="D134" t="s">
        <v>40</v>
      </c>
      <c r="F134">
        <f t="shared" ca="1" si="4"/>
        <v>9.8318120370386168</v>
      </c>
      <c r="G134" t="str">
        <f t="shared" ca="1" si="5"/>
        <v>06_10 Days</v>
      </c>
    </row>
    <row r="135" spans="2:7" x14ac:dyDescent="0.4">
      <c r="B135" s="2">
        <v>46212.21875</v>
      </c>
      <c r="D135" t="s">
        <v>40</v>
      </c>
      <c r="F135">
        <f t="shared" ca="1" si="4"/>
        <v>11.474867592594819</v>
      </c>
      <c r="G135" t="str">
        <f t="shared" ca="1" si="5"/>
        <v>11_15 Days</v>
      </c>
    </row>
    <row r="136" spans="2:7" x14ac:dyDescent="0.4">
      <c r="B136" s="2">
        <v>46210.757638888892</v>
      </c>
      <c r="D136" t="s">
        <v>40</v>
      </c>
      <c r="F136">
        <f t="shared" ca="1" si="4"/>
        <v>12.935978703702858</v>
      </c>
      <c r="G136" t="str">
        <f t="shared" ca="1" si="5"/>
        <v>11_15 Days</v>
      </c>
    </row>
    <row r="137" spans="2:7" x14ac:dyDescent="0.4">
      <c r="B137" s="2">
        <v>46210.068055555559</v>
      </c>
      <c r="D137" t="s">
        <v>40</v>
      </c>
      <c r="F137">
        <f t="shared" ca="1" si="4"/>
        <v>13.625562037035706</v>
      </c>
      <c r="G137" t="str">
        <f t="shared" ca="1" si="5"/>
        <v>11_15 Days</v>
      </c>
    </row>
    <row r="138" spans="2:7" x14ac:dyDescent="0.4">
      <c r="B138" s="2">
        <v>46210.036805555559</v>
      </c>
      <c r="D138" t="s">
        <v>40</v>
      </c>
      <c r="F138">
        <f t="shared" ca="1" si="4"/>
        <v>13.656812037035706</v>
      </c>
      <c r="G138" t="str">
        <f t="shared" ca="1" si="5"/>
        <v>11_15 Days</v>
      </c>
    </row>
    <row r="139" spans="2:7" x14ac:dyDescent="0.4">
      <c r="B139" s="2">
        <v>46206.068749999999</v>
      </c>
      <c r="D139" t="s">
        <v>40</v>
      </c>
      <c r="F139">
        <f t="shared" ca="1" si="4"/>
        <v>17.624867592596274</v>
      </c>
      <c r="G139" t="str">
        <f t="shared" ca="1" si="5"/>
        <v>16_30 Days</v>
      </c>
    </row>
    <row r="140" spans="2:7" x14ac:dyDescent="0.4">
      <c r="B140" s="2">
        <v>46211.597916666666</v>
      </c>
      <c r="D140" t="s">
        <v>40</v>
      </c>
      <c r="F140">
        <f t="shared" ca="1" si="4"/>
        <v>12.095700925929123</v>
      </c>
      <c r="G140" t="str">
        <f t="shared" ca="1" si="5"/>
        <v>11_15 Days</v>
      </c>
    </row>
    <row r="141" spans="2:7" x14ac:dyDescent="0.4">
      <c r="B141" s="2">
        <v>46210.832638888889</v>
      </c>
      <c r="D141" t="s">
        <v>40</v>
      </c>
      <c r="F141">
        <f t="shared" ca="1" si="4"/>
        <v>12.860978703705769</v>
      </c>
      <c r="G141" t="str">
        <f t="shared" ca="1" si="5"/>
        <v>11_15 Days</v>
      </c>
    </row>
    <row r="142" spans="2:7" x14ac:dyDescent="0.4">
      <c r="B142" s="2">
        <v>46210.727777777778</v>
      </c>
      <c r="D142" t="s">
        <v>40</v>
      </c>
      <c r="F142">
        <f t="shared" ca="1" si="4"/>
        <v>12.965839814816718</v>
      </c>
      <c r="G142" t="str">
        <f t="shared" ca="1" si="5"/>
        <v>11_15 Days</v>
      </c>
    </row>
    <row r="143" spans="2:7" x14ac:dyDescent="0.4">
      <c r="B143" s="2">
        <v>46217.54791666667</v>
      </c>
      <c r="D143" t="s">
        <v>40</v>
      </c>
      <c r="F143">
        <f t="shared" ca="1" si="4"/>
        <v>6.145700925924757</v>
      </c>
      <c r="G143" t="str">
        <f t="shared" ca="1" si="5"/>
        <v>06_10 Days</v>
      </c>
    </row>
    <row r="144" spans="2:7" x14ac:dyDescent="0.4">
      <c r="B144" s="2">
        <v>46182.861805555556</v>
      </c>
      <c r="D144" t="s">
        <v>40</v>
      </c>
      <c r="F144">
        <f t="shared" ca="1" si="4"/>
        <v>40.831812037038617</v>
      </c>
      <c r="G144" t="str">
        <f t="shared" ca="1" si="5"/>
        <v>31_60 Days</v>
      </c>
    </row>
    <row r="145" spans="2:7" x14ac:dyDescent="0.4">
      <c r="B145" s="2">
        <v>46211.578472222223</v>
      </c>
      <c r="D145" t="s">
        <v>40</v>
      </c>
      <c r="F145">
        <f t="shared" ca="1" si="4"/>
        <v>12.115145370371465</v>
      </c>
      <c r="G145" t="str">
        <f t="shared" ca="1" si="5"/>
        <v>11_15 Days</v>
      </c>
    </row>
    <row r="146" spans="2:7" x14ac:dyDescent="0.4">
      <c r="B146" s="2">
        <v>46216.493055555555</v>
      </c>
      <c r="D146" t="s">
        <v>40</v>
      </c>
      <c r="F146">
        <f t="shared" ca="1" si="4"/>
        <v>7.200562037040072</v>
      </c>
      <c r="G146" t="str">
        <f t="shared" ca="1" si="5"/>
        <v>06_10 Days</v>
      </c>
    </row>
    <row r="147" spans="2:7" x14ac:dyDescent="0.4">
      <c r="B147" s="2">
        <v>46191.455555555556</v>
      </c>
      <c r="D147" t="s">
        <v>40</v>
      </c>
      <c r="F147">
        <f t="shared" ca="1" si="4"/>
        <v>32.238062037038617</v>
      </c>
      <c r="G147" t="str">
        <f t="shared" ca="1" si="5"/>
        <v>31_60 Days</v>
      </c>
    </row>
    <row r="148" spans="2:7" x14ac:dyDescent="0.4">
      <c r="B148" s="2">
        <v>46211.13958333333</v>
      </c>
      <c r="D148" t="s">
        <v>40</v>
      </c>
      <c r="F148">
        <f t="shared" ca="1" si="4"/>
        <v>12.554034259264881</v>
      </c>
      <c r="G148" t="str">
        <f t="shared" ca="1" si="5"/>
        <v>11_15 Days</v>
      </c>
    </row>
    <row r="149" spans="2:7" x14ac:dyDescent="0.4">
      <c r="B149" s="2">
        <v>46211.635416666664</v>
      </c>
      <c r="D149" t="s">
        <v>40</v>
      </c>
      <c r="F149">
        <f t="shared" ca="1" si="4"/>
        <v>12.058200925930578</v>
      </c>
      <c r="G149" t="str">
        <f t="shared" ca="1" si="5"/>
        <v>11_15 Days</v>
      </c>
    </row>
    <row r="150" spans="2:7" x14ac:dyDescent="0.4">
      <c r="B150" s="2">
        <v>46204.521527777775</v>
      </c>
      <c r="D150" t="s">
        <v>40</v>
      </c>
      <c r="F150">
        <f t="shared" ca="1" si="4"/>
        <v>19.172089814819628</v>
      </c>
      <c r="G150" t="str">
        <f t="shared" ca="1" si="5"/>
        <v>16_30 Days</v>
      </c>
    </row>
    <row r="151" spans="2:7" x14ac:dyDescent="0.4">
      <c r="B151" s="2">
        <v>46205.900694444441</v>
      </c>
      <c r="D151" t="s">
        <v>40</v>
      </c>
      <c r="F151">
        <f t="shared" ca="1" si="4"/>
        <v>17.792923148153932</v>
      </c>
      <c r="G151" t="str">
        <f t="shared" ca="1" si="5"/>
        <v>16_30 Days</v>
      </c>
    </row>
    <row r="152" spans="2:7" x14ac:dyDescent="0.4">
      <c r="B152" s="2">
        <v>46161.145833333336</v>
      </c>
      <c r="D152" t="s">
        <v>40</v>
      </c>
      <c r="F152">
        <f t="shared" ca="1" si="4"/>
        <v>62.54778425925906</v>
      </c>
      <c r="G152" t="str">
        <f t="shared" ca="1" si="5"/>
        <v>&gt;60 Days</v>
      </c>
    </row>
    <row r="153" spans="2:7" x14ac:dyDescent="0.4">
      <c r="B153" s="2">
        <v>46150.410416666666</v>
      </c>
      <c r="D153" t="s">
        <v>40</v>
      </c>
      <c r="F153">
        <f t="shared" ca="1" si="4"/>
        <v>73.283200925929123</v>
      </c>
      <c r="G153" t="str">
        <f t="shared" ca="1" si="5"/>
        <v>&gt;60 Days</v>
      </c>
    </row>
    <row r="154" spans="2:7" x14ac:dyDescent="0.4">
      <c r="B154" s="2">
        <v>46211.923611111109</v>
      </c>
      <c r="D154" t="s">
        <v>40</v>
      </c>
      <c r="F154">
        <f t="shared" ca="1" si="4"/>
        <v>11.770006481485325</v>
      </c>
      <c r="G154" t="str">
        <f t="shared" ca="1" si="5"/>
        <v>11_15 Days</v>
      </c>
    </row>
    <row r="155" spans="2:7" x14ac:dyDescent="0.4">
      <c r="B155" s="2">
        <v>46190.436805555553</v>
      </c>
      <c r="D155" t="s">
        <v>40</v>
      </c>
      <c r="F155">
        <f t="shared" ca="1" si="4"/>
        <v>33.256812037041527</v>
      </c>
      <c r="G155" t="str">
        <f t="shared" ca="1" si="5"/>
        <v>31_60 Days</v>
      </c>
    </row>
    <row r="156" spans="2:7" x14ac:dyDescent="0.4">
      <c r="B156" s="2">
        <v>46210.936111111114</v>
      </c>
      <c r="D156" t="s">
        <v>40</v>
      </c>
      <c r="F156">
        <f t="shared" ca="1" si="4"/>
        <v>12.757506481480959</v>
      </c>
      <c r="G156" t="str">
        <f t="shared" ca="1" si="5"/>
        <v>11_15 Days</v>
      </c>
    </row>
    <row r="157" spans="2:7" x14ac:dyDescent="0.4">
      <c r="B157" s="2">
        <v>46155.840277777781</v>
      </c>
      <c r="D157" t="s">
        <v>40</v>
      </c>
      <c r="F157">
        <f t="shared" ca="1" si="4"/>
        <v>67.853339814813808</v>
      </c>
      <c r="G157" t="str">
        <f t="shared" ca="1" si="5"/>
        <v>&gt;60 Days</v>
      </c>
    </row>
    <row r="158" spans="2:7" x14ac:dyDescent="0.4">
      <c r="B158" s="2">
        <v>46188.477777777778</v>
      </c>
      <c r="D158" t="s">
        <v>40</v>
      </c>
      <c r="F158">
        <f t="shared" ca="1" si="4"/>
        <v>35.215839814816718</v>
      </c>
      <c r="G158" t="str">
        <f t="shared" ca="1" si="5"/>
        <v>31_60 Days</v>
      </c>
    </row>
    <row r="159" spans="2:7" x14ac:dyDescent="0.4">
      <c r="B159" s="2">
        <v>46202.96875</v>
      </c>
      <c r="D159" t="s">
        <v>40</v>
      </c>
      <c r="F159">
        <f t="shared" ca="1" si="4"/>
        <v>20.724867592594819</v>
      </c>
      <c r="G159" t="str">
        <f t="shared" ca="1" si="5"/>
        <v>16_30 Days</v>
      </c>
    </row>
    <row r="160" spans="2:7" x14ac:dyDescent="0.4">
      <c r="B160" s="2">
        <v>46141.543749999997</v>
      </c>
      <c r="D160" t="s">
        <v>40</v>
      </c>
      <c r="F160">
        <f t="shared" ca="1" si="4"/>
        <v>82.14986759259773</v>
      </c>
      <c r="G160" t="str">
        <f t="shared" ca="1" si="5"/>
        <v>&gt;60 Days</v>
      </c>
    </row>
    <row r="161" spans="2:7" x14ac:dyDescent="0.4">
      <c r="B161" s="2">
        <v>46202.775694444441</v>
      </c>
      <c r="D161" t="s">
        <v>40</v>
      </c>
      <c r="F161">
        <f t="shared" ca="1" si="4"/>
        <v>20.917923148153932</v>
      </c>
      <c r="G161" t="str">
        <f t="shared" ca="1" si="5"/>
        <v>16_30 Days</v>
      </c>
    </row>
    <row r="162" spans="2:7" x14ac:dyDescent="0.4">
      <c r="B162" s="2">
        <v>46192.78402777778</v>
      </c>
      <c r="D162" t="s">
        <v>40</v>
      </c>
      <c r="F162">
        <f t="shared" ca="1" si="4"/>
        <v>30.909589814815263</v>
      </c>
      <c r="G162" t="str">
        <f t="shared" ca="1" si="5"/>
        <v>31_60 Days</v>
      </c>
    </row>
    <row r="163" spans="2:7" x14ac:dyDescent="0.4">
      <c r="B163" s="2">
        <v>46157.554861111108</v>
      </c>
      <c r="D163" t="s">
        <v>40</v>
      </c>
      <c r="F163">
        <f t="shared" ca="1" si="4"/>
        <v>66.13875648148678</v>
      </c>
      <c r="G163" t="str">
        <f t="shared" ca="1" si="5"/>
        <v>&gt;60 Days</v>
      </c>
    </row>
    <row r="164" spans="2:7" x14ac:dyDescent="0.4">
      <c r="B164" s="2"/>
    </row>
    <row r="165" spans="2:7" x14ac:dyDescent="0.4">
      <c r="B165" s="2"/>
    </row>
    <row r="166" spans="2:7" x14ac:dyDescent="0.4">
      <c r="B166" s="2"/>
    </row>
    <row r="167" spans="2:7" x14ac:dyDescent="0.4">
      <c r="B167" s="2"/>
    </row>
    <row r="168" spans="2:7" x14ac:dyDescent="0.4">
      <c r="B168" s="2"/>
    </row>
    <row r="169" spans="2:7" x14ac:dyDescent="0.4">
      <c r="B169" s="2"/>
    </row>
    <row r="170" spans="2:7" x14ac:dyDescent="0.4">
      <c r="B170" s="2"/>
    </row>
    <row r="171" spans="2:7" x14ac:dyDescent="0.4">
      <c r="B171" s="2"/>
    </row>
    <row r="172" spans="2:7" x14ac:dyDescent="0.4">
      <c r="B172" s="2"/>
    </row>
    <row r="173" spans="2:7" x14ac:dyDescent="0.4">
      <c r="B173" s="2"/>
    </row>
    <row r="174" spans="2:7" x14ac:dyDescent="0.4">
      <c r="B174" s="2"/>
    </row>
    <row r="175" spans="2:7" x14ac:dyDescent="0.4">
      <c r="B175" s="2"/>
    </row>
    <row r="176" spans="2:7" x14ac:dyDescent="0.4">
      <c r="B176" s="2"/>
    </row>
    <row r="177" spans="2:2" x14ac:dyDescent="0.4">
      <c r="B177" s="2"/>
    </row>
    <row r="178" spans="2:2" x14ac:dyDescent="0.4">
      <c r="B178" s="2"/>
    </row>
    <row r="179" spans="2:2" x14ac:dyDescent="0.4">
      <c r="B179" s="2"/>
    </row>
    <row r="180" spans="2:2" x14ac:dyDescent="0.4">
      <c r="B180" s="2"/>
    </row>
    <row r="181" spans="2:2" x14ac:dyDescent="0.4">
      <c r="B181" s="2"/>
    </row>
    <row r="182" spans="2:2" x14ac:dyDescent="0.4">
      <c r="B182" s="2"/>
    </row>
    <row r="183" spans="2:2" x14ac:dyDescent="0.4">
      <c r="B183" s="2"/>
    </row>
    <row r="184" spans="2:2" x14ac:dyDescent="0.4">
      <c r="B184" s="2"/>
    </row>
    <row r="185" spans="2:2" x14ac:dyDescent="0.4">
      <c r="B185" s="2"/>
    </row>
    <row r="186" spans="2:2" x14ac:dyDescent="0.4">
      <c r="B186" s="2"/>
    </row>
    <row r="187" spans="2:2" x14ac:dyDescent="0.4">
      <c r="B187" s="2"/>
    </row>
    <row r="188" spans="2:2" x14ac:dyDescent="0.4">
      <c r="B188" s="2"/>
    </row>
    <row r="189" spans="2:2" x14ac:dyDescent="0.4">
      <c r="B189" s="2"/>
    </row>
    <row r="190" spans="2:2" x14ac:dyDescent="0.4">
      <c r="B190" s="2"/>
    </row>
    <row r="191" spans="2:2" x14ac:dyDescent="0.4">
      <c r="B191" s="2"/>
    </row>
    <row r="192" spans="2:2" x14ac:dyDescent="0.4">
      <c r="B192" s="2"/>
    </row>
    <row r="193" spans="2:2" x14ac:dyDescent="0.4">
      <c r="B193" s="2"/>
    </row>
    <row r="194" spans="2:2" x14ac:dyDescent="0.4">
      <c r="B194" s="2"/>
    </row>
    <row r="195" spans="2:2" x14ac:dyDescent="0.4">
      <c r="B195" s="2"/>
    </row>
    <row r="196" spans="2:2" x14ac:dyDescent="0.4">
      <c r="B196" s="2"/>
    </row>
    <row r="197" spans="2:2" x14ac:dyDescent="0.4">
      <c r="B197" s="2"/>
    </row>
    <row r="198" spans="2:2" x14ac:dyDescent="0.4">
      <c r="B198" s="2"/>
    </row>
    <row r="199" spans="2:2" x14ac:dyDescent="0.4">
      <c r="B199" s="2"/>
    </row>
    <row r="200" spans="2:2" x14ac:dyDescent="0.4">
      <c r="B200" s="2"/>
    </row>
    <row r="201" spans="2:2" x14ac:dyDescent="0.4">
      <c r="B201" s="2"/>
    </row>
    <row r="202" spans="2:2" x14ac:dyDescent="0.4">
      <c r="B202" s="2"/>
    </row>
    <row r="203" spans="2:2" x14ac:dyDescent="0.4">
      <c r="B203" s="2"/>
    </row>
    <row r="204" spans="2:2" x14ac:dyDescent="0.4">
      <c r="B204" s="2"/>
    </row>
    <row r="205" spans="2:2" x14ac:dyDescent="0.4">
      <c r="B205" s="2"/>
    </row>
    <row r="206" spans="2:2" x14ac:dyDescent="0.4">
      <c r="B206" s="2"/>
    </row>
    <row r="207" spans="2:2" x14ac:dyDescent="0.4">
      <c r="B207" s="2"/>
    </row>
    <row r="208" spans="2:2" x14ac:dyDescent="0.4">
      <c r="B208" s="2"/>
    </row>
    <row r="209" spans="2:2" x14ac:dyDescent="0.4">
      <c r="B209" s="2"/>
    </row>
    <row r="210" spans="2:2" x14ac:dyDescent="0.4">
      <c r="B210" s="2"/>
    </row>
    <row r="211" spans="2:2" x14ac:dyDescent="0.4">
      <c r="B211" s="2"/>
    </row>
    <row r="212" spans="2:2" x14ac:dyDescent="0.4">
      <c r="B212" s="2"/>
    </row>
    <row r="213" spans="2:2" x14ac:dyDescent="0.4">
      <c r="B213" s="2"/>
    </row>
    <row r="214" spans="2:2" x14ac:dyDescent="0.4">
      <c r="B214" s="2"/>
    </row>
    <row r="215" spans="2:2" x14ac:dyDescent="0.4">
      <c r="B215" s="2"/>
    </row>
    <row r="216" spans="2:2" x14ac:dyDescent="0.4">
      <c r="B216" s="2"/>
    </row>
    <row r="217" spans="2:2" x14ac:dyDescent="0.4">
      <c r="B217" s="2"/>
    </row>
    <row r="218" spans="2:2" x14ac:dyDescent="0.4">
      <c r="B218" s="2"/>
    </row>
    <row r="219" spans="2:2" x14ac:dyDescent="0.4">
      <c r="B219" s="2"/>
    </row>
    <row r="220" spans="2:2" x14ac:dyDescent="0.4">
      <c r="B220" s="2"/>
    </row>
    <row r="221" spans="2:2" x14ac:dyDescent="0.4">
      <c r="B221" s="2"/>
    </row>
    <row r="222" spans="2:2" x14ac:dyDescent="0.4">
      <c r="B222" s="2"/>
    </row>
    <row r="223" spans="2:2" x14ac:dyDescent="0.4">
      <c r="B223" s="2"/>
    </row>
    <row r="224" spans="2:2" x14ac:dyDescent="0.4">
      <c r="B224" s="2"/>
    </row>
    <row r="225" spans="2:2" x14ac:dyDescent="0.4">
      <c r="B225" s="2"/>
    </row>
    <row r="226" spans="2:2" x14ac:dyDescent="0.4">
      <c r="B226" s="2"/>
    </row>
    <row r="227" spans="2:2" x14ac:dyDescent="0.4">
      <c r="B227" s="2"/>
    </row>
    <row r="228" spans="2:2" x14ac:dyDescent="0.4">
      <c r="B228" s="2"/>
    </row>
    <row r="229" spans="2:2" x14ac:dyDescent="0.4">
      <c r="B229" s="2"/>
    </row>
    <row r="230" spans="2:2" x14ac:dyDescent="0.4">
      <c r="B230" s="2"/>
    </row>
    <row r="231" spans="2:2" x14ac:dyDescent="0.4">
      <c r="B231" s="2"/>
    </row>
    <row r="232" spans="2:2" x14ac:dyDescent="0.4">
      <c r="B232" s="2"/>
    </row>
    <row r="233" spans="2:2" x14ac:dyDescent="0.4">
      <c r="B233" s="2"/>
    </row>
    <row r="234" spans="2:2" x14ac:dyDescent="0.4">
      <c r="B234" s="2"/>
    </row>
    <row r="235" spans="2:2" x14ac:dyDescent="0.4">
      <c r="B235" s="2"/>
    </row>
    <row r="236" spans="2:2" x14ac:dyDescent="0.4">
      <c r="B236" s="2"/>
    </row>
    <row r="237" spans="2:2" x14ac:dyDescent="0.4">
      <c r="B237" s="2"/>
    </row>
    <row r="238" spans="2:2" x14ac:dyDescent="0.4">
      <c r="B238" s="2"/>
    </row>
    <row r="239" spans="2:2" x14ac:dyDescent="0.4">
      <c r="B239" s="2"/>
    </row>
    <row r="240" spans="2:2" x14ac:dyDescent="0.4">
      <c r="B240" s="2"/>
    </row>
    <row r="241" spans="2:2" x14ac:dyDescent="0.4">
      <c r="B241" s="2"/>
    </row>
    <row r="242" spans="2:2" x14ac:dyDescent="0.4">
      <c r="B242" s="2"/>
    </row>
    <row r="243" spans="2:2" x14ac:dyDescent="0.4">
      <c r="B243" s="2"/>
    </row>
    <row r="244" spans="2:2" x14ac:dyDescent="0.4">
      <c r="B244" s="2"/>
    </row>
    <row r="245" spans="2:2" x14ac:dyDescent="0.4">
      <c r="B245" s="2"/>
    </row>
    <row r="246" spans="2:2" x14ac:dyDescent="0.4">
      <c r="B246" s="2"/>
    </row>
    <row r="247" spans="2:2" x14ac:dyDescent="0.4">
      <c r="B247" s="2"/>
    </row>
    <row r="248" spans="2:2" x14ac:dyDescent="0.4">
      <c r="B248" s="2"/>
    </row>
    <row r="249" spans="2:2" x14ac:dyDescent="0.4">
      <c r="B249" s="2"/>
    </row>
    <row r="250" spans="2:2" x14ac:dyDescent="0.4">
      <c r="B250" s="2"/>
    </row>
    <row r="251" spans="2:2" x14ac:dyDescent="0.4">
      <c r="B251" s="2"/>
    </row>
    <row r="252" spans="2:2" x14ac:dyDescent="0.4">
      <c r="B252" s="2"/>
    </row>
    <row r="253" spans="2:2" x14ac:dyDescent="0.4">
      <c r="B253" s="2"/>
    </row>
    <row r="254" spans="2:2" x14ac:dyDescent="0.4">
      <c r="B254" s="2"/>
    </row>
    <row r="255" spans="2:2" x14ac:dyDescent="0.4">
      <c r="B255" s="2"/>
    </row>
    <row r="256" spans="2:2" x14ac:dyDescent="0.4">
      <c r="B256" s="2"/>
    </row>
    <row r="257" spans="2:2" x14ac:dyDescent="0.4">
      <c r="B257" s="2"/>
    </row>
    <row r="258" spans="2:2" x14ac:dyDescent="0.4">
      <c r="B258" s="2"/>
    </row>
    <row r="259" spans="2:2" x14ac:dyDescent="0.4">
      <c r="B259" s="2"/>
    </row>
    <row r="260" spans="2:2" x14ac:dyDescent="0.4">
      <c r="B260" s="2"/>
    </row>
    <row r="261" spans="2:2" x14ac:dyDescent="0.4">
      <c r="B261" s="2"/>
    </row>
    <row r="262" spans="2:2" x14ac:dyDescent="0.4">
      <c r="B262" s="2"/>
    </row>
    <row r="263" spans="2:2" x14ac:dyDescent="0.4">
      <c r="B263" s="2"/>
    </row>
    <row r="264" spans="2:2" x14ac:dyDescent="0.4">
      <c r="B264" s="2"/>
    </row>
    <row r="265" spans="2:2" x14ac:dyDescent="0.4">
      <c r="B265" s="2"/>
    </row>
    <row r="266" spans="2:2" x14ac:dyDescent="0.4">
      <c r="B266" s="2"/>
    </row>
    <row r="267" spans="2:2" x14ac:dyDescent="0.4">
      <c r="B267" s="2"/>
    </row>
    <row r="268" spans="2:2" x14ac:dyDescent="0.4">
      <c r="B268" s="2"/>
    </row>
    <row r="269" spans="2:2" x14ac:dyDescent="0.4">
      <c r="B269" s="2"/>
    </row>
    <row r="270" spans="2:2" x14ac:dyDescent="0.4">
      <c r="B270" s="2"/>
    </row>
    <row r="271" spans="2:2" x14ac:dyDescent="0.4">
      <c r="B271" s="2"/>
    </row>
    <row r="272" spans="2:2" x14ac:dyDescent="0.4">
      <c r="B272" s="2"/>
    </row>
    <row r="273" spans="2:2" x14ac:dyDescent="0.4">
      <c r="B273" s="2"/>
    </row>
    <row r="274" spans="2:2" x14ac:dyDescent="0.4">
      <c r="B274" s="2"/>
    </row>
    <row r="275" spans="2:2" x14ac:dyDescent="0.4">
      <c r="B275" s="2"/>
    </row>
    <row r="276" spans="2:2" x14ac:dyDescent="0.4">
      <c r="B276" s="2"/>
    </row>
    <row r="277" spans="2:2" x14ac:dyDescent="0.4">
      <c r="B277" s="2"/>
    </row>
    <row r="278" spans="2:2" x14ac:dyDescent="0.4">
      <c r="B278" s="2"/>
    </row>
    <row r="279" spans="2:2" x14ac:dyDescent="0.4">
      <c r="B279" s="2"/>
    </row>
    <row r="280" spans="2:2" x14ac:dyDescent="0.4">
      <c r="B280" s="2"/>
    </row>
    <row r="281" spans="2:2" x14ac:dyDescent="0.4">
      <c r="B281" s="2"/>
    </row>
    <row r="282" spans="2:2" x14ac:dyDescent="0.4">
      <c r="B282" s="2"/>
    </row>
    <row r="283" spans="2:2" x14ac:dyDescent="0.4">
      <c r="B283" s="2"/>
    </row>
    <row r="284" spans="2:2" x14ac:dyDescent="0.4">
      <c r="B284" s="2"/>
    </row>
    <row r="285" spans="2:2" x14ac:dyDescent="0.4">
      <c r="B285" s="2"/>
    </row>
    <row r="286" spans="2:2" x14ac:dyDescent="0.4">
      <c r="B286" s="2"/>
    </row>
    <row r="287" spans="2:2" x14ac:dyDescent="0.4">
      <c r="B287" s="2"/>
    </row>
    <row r="288" spans="2:2" x14ac:dyDescent="0.4">
      <c r="B288" s="2"/>
    </row>
    <row r="289" spans="2:2" x14ac:dyDescent="0.4">
      <c r="B289" s="2"/>
    </row>
    <row r="290" spans="2:2" x14ac:dyDescent="0.4">
      <c r="B290" s="2"/>
    </row>
    <row r="291" spans="2:2" x14ac:dyDescent="0.4">
      <c r="B291" s="2"/>
    </row>
    <row r="292" spans="2:2" x14ac:dyDescent="0.4">
      <c r="B292" s="2"/>
    </row>
    <row r="293" spans="2:2" x14ac:dyDescent="0.4">
      <c r="B293" s="2"/>
    </row>
    <row r="294" spans="2:2" x14ac:dyDescent="0.4">
      <c r="B294" s="2"/>
    </row>
    <row r="295" spans="2:2" x14ac:dyDescent="0.4">
      <c r="B295" s="2"/>
    </row>
    <row r="296" spans="2:2" x14ac:dyDescent="0.4">
      <c r="B296" s="2"/>
    </row>
    <row r="297" spans="2:2" x14ac:dyDescent="0.4">
      <c r="B297" s="2"/>
    </row>
    <row r="298" spans="2:2" x14ac:dyDescent="0.4">
      <c r="B298" s="2"/>
    </row>
    <row r="299" spans="2:2" x14ac:dyDescent="0.4">
      <c r="B299" s="2"/>
    </row>
    <row r="300" spans="2:2" x14ac:dyDescent="0.4">
      <c r="B300" s="2"/>
    </row>
    <row r="301" spans="2:2" x14ac:dyDescent="0.4">
      <c r="B301" s="2"/>
    </row>
    <row r="302" spans="2:2" x14ac:dyDescent="0.4">
      <c r="B302" s="2"/>
    </row>
    <row r="303" spans="2:2" x14ac:dyDescent="0.4">
      <c r="B303" s="2"/>
    </row>
    <row r="304" spans="2:2" x14ac:dyDescent="0.4">
      <c r="B304" s="2"/>
    </row>
    <row r="305" spans="2:2" x14ac:dyDescent="0.4">
      <c r="B305" s="2"/>
    </row>
    <row r="306" spans="2:2" x14ac:dyDescent="0.4">
      <c r="B306" s="2"/>
    </row>
    <row r="307" spans="2:2" x14ac:dyDescent="0.4">
      <c r="B307" s="2"/>
    </row>
    <row r="308" spans="2:2" x14ac:dyDescent="0.4">
      <c r="B308" s="2"/>
    </row>
    <row r="309" spans="2:2" x14ac:dyDescent="0.4">
      <c r="B309" s="2"/>
    </row>
    <row r="310" spans="2:2" x14ac:dyDescent="0.4">
      <c r="B310" s="2"/>
    </row>
    <row r="311" spans="2:2" x14ac:dyDescent="0.4">
      <c r="B311" s="2"/>
    </row>
    <row r="312" spans="2:2" x14ac:dyDescent="0.4">
      <c r="B312" s="2"/>
    </row>
    <row r="313" spans="2:2" x14ac:dyDescent="0.4">
      <c r="B313" s="2"/>
    </row>
    <row r="314" spans="2:2" x14ac:dyDescent="0.4">
      <c r="B314" s="2"/>
    </row>
    <row r="315" spans="2:2" x14ac:dyDescent="0.4">
      <c r="B315" s="2"/>
    </row>
    <row r="316" spans="2:2" x14ac:dyDescent="0.4">
      <c r="B316" s="2"/>
    </row>
    <row r="317" spans="2:2" x14ac:dyDescent="0.4">
      <c r="B317" s="2"/>
    </row>
    <row r="318" spans="2:2" x14ac:dyDescent="0.4">
      <c r="B318" s="2"/>
    </row>
    <row r="319" spans="2:2" x14ac:dyDescent="0.4">
      <c r="B319" s="2"/>
    </row>
    <row r="320" spans="2:2" x14ac:dyDescent="0.4">
      <c r="B320" s="2"/>
    </row>
    <row r="321" spans="2:2" x14ac:dyDescent="0.4">
      <c r="B321" s="2"/>
    </row>
    <row r="322" spans="2:2" x14ac:dyDescent="0.4">
      <c r="B322" s="2"/>
    </row>
    <row r="323" spans="2:2" x14ac:dyDescent="0.4">
      <c r="B323" s="2"/>
    </row>
    <row r="324" spans="2:2" x14ac:dyDescent="0.4">
      <c r="B324" s="2"/>
    </row>
    <row r="325" spans="2:2" x14ac:dyDescent="0.4">
      <c r="B325" s="2"/>
    </row>
    <row r="326" spans="2:2" x14ac:dyDescent="0.4">
      <c r="B326" s="2"/>
    </row>
    <row r="327" spans="2:2" x14ac:dyDescent="0.4">
      <c r="B327" s="2"/>
    </row>
    <row r="328" spans="2:2" x14ac:dyDescent="0.4">
      <c r="B328" s="2"/>
    </row>
    <row r="329" spans="2:2" x14ac:dyDescent="0.4">
      <c r="B329" s="2"/>
    </row>
    <row r="330" spans="2:2" x14ac:dyDescent="0.4">
      <c r="B330" s="2"/>
    </row>
    <row r="331" spans="2:2" x14ac:dyDescent="0.4">
      <c r="B331" s="2"/>
    </row>
    <row r="332" spans="2:2" x14ac:dyDescent="0.4">
      <c r="B332" s="2"/>
    </row>
    <row r="333" spans="2:2" x14ac:dyDescent="0.4">
      <c r="B333" s="2"/>
    </row>
    <row r="334" spans="2:2" x14ac:dyDescent="0.4">
      <c r="B334" s="2"/>
    </row>
    <row r="335" spans="2:2" x14ac:dyDescent="0.4">
      <c r="B335" s="2"/>
    </row>
    <row r="336" spans="2:2" x14ac:dyDescent="0.4">
      <c r="B336" s="2"/>
    </row>
    <row r="337" spans="2:2" x14ac:dyDescent="0.4">
      <c r="B337" s="2"/>
    </row>
    <row r="338" spans="2:2" x14ac:dyDescent="0.4">
      <c r="B338" s="2"/>
    </row>
    <row r="339" spans="2:2" x14ac:dyDescent="0.4">
      <c r="B339" s="2"/>
    </row>
    <row r="340" spans="2:2" x14ac:dyDescent="0.4">
      <c r="B340" s="2"/>
    </row>
    <row r="341" spans="2:2" x14ac:dyDescent="0.4">
      <c r="B341" s="2"/>
    </row>
    <row r="342" spans="2:2" x14ac:dyDescent="0.4">
      <c r="B342" s="2"/>
    </row>
    <row r="343" spans="2:2" x14ac:dyDescent="0.4">
      <c r="B343" s="2"/>
    </row>
    <row r="344" spans="2:2" x14ac:dyDescent="0.4">
      <c r="B344" s="2"/>
    </row>
    <row r="345" spans="2:2" x14ac:dyDescent="0.4">
      <c r="B345" s="2"/>
    </row>
    <row r="346" spans="2:2" x14ac:dyDescent="0.4">
      <c r="B346" s="2"/>
    </row>
    <row r="347" spans="2:2" x14ac:dyDescent="0.4">
      <c r="B347" s="2"/>
    </row>
    <row r="348" spans="2:2" x14ac:dyDescent="0.4">
      <c r="B348" s="2"/>
    </row>
    <row r="349" spans="2:2" x14ac:dyDescent="0.4">
      <c r="B349" s="2"/>
    </row>
    <row r="350" spans="2:2" x14ac:dyDescent="0.4">
      <c r="B350" s="2"/>
    </row>
    <row r="351" spans="2:2" x14ac:dyDescent="0.4">
      <c r="B351" s="2"/>
    </row>
    <row r="352" spans="2:2" x14ac:dyDescent="0.4">
      <c r="B352" s="2"/>
    </row>
    <row r="353" spans="2:2" x14ac:dyDescent="0.4">
      <c r="B353" s="2"/>
    </row>
    <row r="354" spans="2:2" x14ac:dyDescent="0.4">
      <c r="B354" s="2"/>
    </row>
    <row r="355" spans="2:2" x14ac:dyDescent="0.4">
      <c r="B355" s="2"/>
    </row>
    <row r="356" spans="2:2" x14ac:dyDescent="0.4">
      <c r="B356" s="2"/>
    </row>
    <row r="357" spans="2:2" x14ac:dyDescent="0.4">
      <c r="B357" s="2"/>
    </row>
    <row r="358" spans="2:2" x14ac:dyDescent="0.4">
      <c r="B358" s="2"/>
    </row>
    <row r="359" spans="2:2" x14ac:dyDescent="0.4">
      <c r="B35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C1C65-C65E-4A02-95E3-04ABC4A1DF40}">
  <dimension ref="B2:P31"/>
  <sheetViews>
    <sheetView topLeftCell="C1" zoomScale="60" zoomScaleNormal="60" workbookViewId="0">
      <selection activeCell="H5" sqref="H5"/>
    </sheetView>
  </sheetViews>
  <sheetFormatPr defaultRowHeight="16" x14ac:dyDescent="0.4"/>
  <cols>
    <col min="1" max="1" width="11.75" bestFit="1" customWidth="1"/>
    <col min="2" max="2" width="16.33203125" bestFit="1" customWidth="1"/>
    <col min="3" max="3" width="7.5" bestFit="1" customWidth="1"/>
    <col min="4" max="4" width="18.9140625" bestFit="1" customWidth="1"/>
    <col min="5" max="5" width="12.25" customWidth="1"/>
    <col min="6" max="6" width="10.33203125" bestFit="1" customWidth="1"/>
    <col min="7" max="7" width="16.33203125" bestFit="1" customWidth="1"/>
    <col min="8" max="8" width="36.58203125" bestFit="1" customWidth="1"/>
    <col min="9" max="9" width="54.83203125" bestFit="1" customWidth="1"/>
    <col min="10" max="15" width="10" bestFit="1" customWidth="1"/>
    <col min="16" max="16" width="10.33203125" bestFit="1" customWidth="1"/>
    <col min="17" max="17" width="12.25" bestFit="1" customWidth="1"/>
    <col min="18" max="18" width="17.33203125" bestFit="1" customWidth="1"/>
    <col min="19" max="19" width="16" bestFit="1" customWidth="1"/>
    <col min="20" max="20" width="11.1640625" bestFit="1" customWidth="1"/>
    <col min="21" max="21" width="16" bestFit="1" customWidth="1"/>
    <col min="22" max="22" width="10.83203125" bestFit="1" customWidth="1"/>
    <col min="23" max="23" width="13.5" bestFit="1" customWidth="1"/>
    <col min="24" max="24" width="16.83203125" bestFit="1" customWidth="1"/>
    <col min="25" max="25" width="8.5" bestFit="1" customWidth="1"/>
    <col min="26" max="26" width="11.83203125" bestFit="1" customWidth="1"/>
    <col min="27" max="27" width="12.83203125" bestFit="1" customWidth="1"/>
    <col min="28" max="28" width="13.4140625" bestFit="1" customWidth="1"/>
    <col min="29" max="29" width="16.1640625" bestFit="1" customWidth="1"/>
    <col min="30" max="30" width="18.1640625" bestFit="1" customWidth="1"/>
    <col min="31" max="31" width="11.83203125" bestFit="1" customWidth="1"/>
    <col min="32" max="32" width="13.5" bestFit="1" customWidth="1"/>
    <col min="33" max="33" width="29.33203125" bestFit="1" customWidth="1"/>
    <col min="34" max="34" width="22.83203125" bestFit="1" customWidth="1"/>
    <col min="35" max="35" width="12.33203125" bestFit="1" customWidth="1"/>
    <col min="36" max="36" width="8.1640625" bestFit="1" customWidth="1"/>
    <col min="37" max="37" width="20.08203125" bestFit="1" customWidth="1"/>
    <col min="38" max="38" width="12.08203125" bestFit="1" customWidth="1"/>
    <col min="39" max="39" width="10.9140625" bestFit="1" customWidth="1"/>
    <col min="40" max="40" width="17.9140625" bestFit="1" customWidth="1"/>
    <col min="41" max="41" width="17.58203125" bestFit="1" customWidth="1"/>
    <col min="42" max="42" width="14.5" bestFit="1" customWidth="1"/>
    <col min="43" max="43" width="22.08203125" bestFit="1" customWidth="1"/>
    <col min="44" max="44" width="15.33203125" bestFit="1" customWidth="1"/>
    <col min="45" max="45" width="28.08203125" bestFit="1" customWidth="1"/>
    <col min="46" max="46" width="14" bestFit="1" customWidth="1"/>
    <col min="47" max="47" width="12.6640625" bestFit="1" customWidth="1"/>
    <col min="48" max="48" width="19.25" bestFit="1" customWidth="1"/>
    <col min="49" max="49" width="17.08203125" bestFit="1" customWidth="1"/>
    <col min="50" max="50" width="10.08203125" bestFit="1" customWidth="1"/>
    <col min="51" max="51" width="16.1640625" bestFit="1" customWidth="1"/>
    <col min="52" max="52" width="18.5" bestFit="1" customWidth="1"/>
    <col min="53" max="53" width="21.5" bestFit="1" customWidth="1"/>
    <col min="54" max="54" width="15.6640625" bestFit="1" customWidth="1"/>
    <col min="55" max="55" width="15.9140625" bestFit="1" customWidth="1"/>
    <col min="56" max="56" width="15.6640625" bestFit="1" customWidth="1"/>
    <col min="57" max="57" width="15.4140625" bestFit="1" customWidth="1"/>
    <col min="58" max="58" width="16.6640625" bestFit="1" customWidth="1"/>
    <col min="59" max="59" width="12.08203125" bestFit="1" customWidth="1"/>
    <col min="60" max="60" width="14.33203125" bestFit="1" customWidth="1"/>
    <col min="61" max="61" width="16.6640625" bestFit="1" customWidth="1"/>
    <col min="62" max="62" width="12.25" bestFit="1" customWidth="1"/>
    <col min="63" max="63" width="14.58203125" bestFit="1" customWidth="1"/>
    <col min="64" max="64" width="13.6640625" bestFit="1" customWidth="1"/>
    <col min="65" max="65" width="10.08203125" bestFit="1" customWidth="1"/>
    <col min="66" max="66" width="19.1640625" bestFit="1" customWidth="1"/>
    <col min="67" max="67" width="32.08203125" bestFit="1" customWidth="1"/>
    <col min="68" max="68" width="18.9140625" bestFit="1" customWidth="1"/>
    <col min="69" max="69" width="26.4140625" bestFit="1" customWidth="1"/>
    <col min="70" max="70" width="20.58203125" bestFit="1" customWidth="1"/>
    <col min="71" max="71" width="20" bestFit="1" customWidth="1"/>
    <col min="72" max="72" width="12.08203125" bestFit="1" customWidth="1"/>
    <col min="73" max="73" width="12.25" bestFit="1" customWidth="1"/>
    <col min="74" max="74" width="12.58203125" bestFit="1" customWidth="1"/>
    <col min="75" max="75" width="12.08203125" bestFit="1" customWidth="1"/>
    <col min="76" max="76" width="15.33203125" bestFit="1" customWidth="1"/>
    <col min="77" max="77" width="17.25" bestFit="1" customWidth="1"/>
    <col min="78" max="78" width="19.33203125" bestFit="1" customWidth="1"/>
    <col min="79" max="79" width="18.6640625" bestFit="1" customWidth="1"/>
    <col min="80" max="80" width="25.6640625" bestFit="1" customWidth="1"/>
    <col min="81" max="81" width="15" bestFit="1" customWidth="1"/>
    <col min="82" max="82" width="18.5" bestFit="1" customWidth="1"/>
    <col min="83" max="83" width="20.1640625" bestFit="1" customWidth="1"/>
    <col min="84" max="84" width="18.08203125" bestFit="1" customWidth="1"/>
    <col min="85" max="85" width="29.1640625" bestFit="1" customWidth="1"/>
    <col min="86" max="86" width="12.25" bestFit="1" customWidth="1"/>
    <col min="87" max="87" width="12.58203125" bestFit="1" customWidth="1"/>
    <col min="88" max="88" width="17" bestFit="1" customWidth="1"/>
    <col min="89" max="89" width="15.4140625" bestFit="1" customWidth="1"/>
    <col min="90" max="90" width="12.5" bestFit="1" customWidth="1"/>
    <col min="91" max="91" width="10.6640625" bestFit="1" customWidth="1"/>
    <col min="92" max="92" width="12" bestFit="1" customWidth="1"/>
    <col min="93" max="93" width="54.75" bestFit="1" customWidth="1"/>
    <col min="94" max="94" width="10.6640625" bestFit="1" customWidth="1"/>
    <col min="95" max="95" width="18.1640625" bestFit="1" customWidth="1"/>
    <col min="96" max="96" width="21.1640625" bestFit="1" customWidth="1"/>
    <col min="97" max="97" width="11.25" bestFit="1" customWidth="1"/>
    <col min="98" max="98" width="17.58203125" bestFit="1" customWidth="1"/>
    <col min="99" max="99" width="22" bestFit="1" customWidth="1"/>
    <col min="100" max="100" width="16.25" bestFit="1" customWidth="1"/>
    <col min="101" max="101" width="17.9140625" bestFit="1" customWidth="1"/>
    <col min="102" max="102" width="15.6640625" bestFit="1" customWidth="1"/>
    <col min="103" max="103" width="20.6640625" bestFit="1" customWidth="1"/>
    <col min="104" max="104" width="26.4140625" bestFit="1" customWidth="1"/>
    <col min="105" max="105" width="14.1640625" bestFit="1" customWidth="1"/>
    <col min="106" max="106" width="13.4140625" bestFit="1" customWidth="1"/>
    <col min="107" max="107" width="9.83203125" bestFit="1" customWidth="1"/>
    <col min="108" max="108" width="12.58203125" bestFit="1" customWidth="1"/>
    <col min="109" max="109" width="17.33203125" bestFit="1" customWidth="1"/>
    <col min="110" max="110" width="11.6640625" bestFit="1" customWidth="1"/>
    <col min="111" max="111" width="7.25" bestFit="1" customWidth="1"/>
    <col min="112" max="112" width="15.08203125" bestFit="1" customWidth="1"/>
    <col min="113" max="113" width="19.58203125" bestFit="1" customWidth="1"/>
    <col min="114" max="114" width="28.6640625" bestFit="1" customWidth="1"/>
    <col min="115" max="115" width="20.58203125" bestFit="1" customWidth="1"/>
    <col min="116" max="116" width="11" bestFit="1" customWidth="1"/>
    <col min="117" max="117" width="18.08203125" bestFit="1" customWidth="1"/>
    <col min="118" max="118" width="19.5" bestFit="1" customWidth="1"/>
    <col min="119" max="119" width="15.33203125" bestFit="1" customWidth="1"/>
    <col min="120" max="120" width="16.4140625" bestFit="1" customWidth="1"/>
    <col min="121" max="121" width="13.6640625" bestFit="1" customWidth="1"/>
    <col min="122" max="122" width="19.83203125" bestFit="1" customWidth="1"/>
    <col min="123" max="123" width="20.33203125" bestFit="1" customWidth="1"/>
    <col min="124" max="124" width="17.6640625" bestFit="1" customWidth="1"/>
    <col min="125" max="125" width="19.83203125" bestFit="1" customWidth="1"/>
    <col min="126" max="127" width="14" bestFit="1" customWidth="1"/>
    <col min="128" max="128" width="11.4140625" bestFit="1" customWidth="1"/>
    <col min="129" max="129" width="14.1640625" bestFit="1" customWidth="1"/>
    <col min="130" max="130" width="17.83203125" bestFit="1" customWidth="1"/>
    <col min="131" max="131" width="19.25" bestFit="1" customWidth="1"/>
    <col min="132" max="132" width="10.6640625" bestFit="1" customWidth="1"/>
  </cols>
  <sheetData>
    <row r="2" spans="2:16" ht="21" x14ac:dyDescent="0.5">
      <c r="B2" s="10" t="s">
        <v>353</v>
      </c>
      <c r="H2" s="3" t="s">
        <v>3</v>
      </c>
      <c r="I2" t="s">
        <v>14</v>
      </c>
    </row>
    <row r="3" spans="2:16" x14ac:dyDescent="0.4">
      <c r="B3" s="3" t="s">
        <v>61</v>
      </c>
      <c r="C3" s="3" t="s">
        <v>59</v>
      </c>
      <c r="H3" s="3" t="s">
        <v>7</v>
      </c>
      <c r="I3" t="s">
        <v>464</v>
      </c>
    </row>
    <row r="4" spans="2:16" x14ac:dyDescent="0.4">
      <c r="B4" s="3" t="s">
        <v>57</v>
      </c>
      <c r="C4" t="s">
        <v>14</v>
      </c>
      <c r="D4" t="s">
        <v>25</v>
      </c>
      <c r="E4" t="s">
        <v>343</v>
      </c>
      <c r="F4" t="s">
        <v>58</v>
      </c>
    </row>
    <row r="5" spans="2:16" x14ac:dyDescent="0.4">
      <c r="B5" s="4" t="s">
        <v>21</v>
      </c>
      <c r="C5">
        <v>37</v>
      </c>
      <c r="D5">
        <v>36</v>
      </c>
      <c r="F5">
        <v>73</v>
      </c>
      <c r="H5" s="3" t="s">
        <v>61</v>
      </c>
      <c r="I5" s="3" t="s">
        <v>59</v>
      </c>
    </row>
    <row r="6" spans="2:16" x14ac:dyDescent="0.4">
      <c r="B6" s="4" t="s">
        <v>23</v>
      </c>
      <c r="C6">
        <v>4</v>
      </c>
      <c r="D6">
        <v>6</v>
      </c>
      <c r="F6">
        <v>10</v>
      </c>
      <c r="H6" s="3" t="s">
        <v>57</v>
      </c>
      <c r="I6" t="s">
        <v>81</v>
      </c>
      <c r="J6" t="s">
        <v>85</v>
      </c>
      <c r="K6" t="s">
        <v>87</v>
      </c>
      <c r="L6" t="s">
        <v>86</v>
      </c>
      <c r="M6" t="s">
        <v>88</v>
      </c>
      <c r="N6" t="s">
        <v>82</v>
      </c>
      <c r="O6" t="s">
        <v>83</v>
      </c>
      <c r="P6" t="s">
        <v>58</v>
      </c>
    </row>
    <row r="7" spans="2:16" x14ac:dyDescent="0.4">
      <c r="B7" s="4" t="s">
        <v>45</v>
      </c>
      <c r="C7">
        <v>3</v>
      </c>
      <c r="D7">
        <v>1</v>
      </c>
      <c r="F7">
        <v>4</v>
      </c>
      <c r="H7" s="4" t="s">
        <v>21</v>
      </c>
      <c r="I7">
        <v>8</v>
      </c>
      <c r="J7">
        <v>12</v>
      </c>
      <c r="K7">
        <v>2</v>
      </c>
      <c r="L7">
        <v>9</v>
      </c>
      <c r="M7">
        <v>1</v>
      </c>
      <c r="N7">
        <v>3</v>
      </c>
      <c r="O7">
        <v>2</v>
      </c>
      <c r="P7">
        <v>37</v>
      </c>
    </row>
    <row r="8" spans="2:16" x14ac:dyDescent="0.4">
      <c r="B8" s="4" t="s">
        <v>16</v>
      </c>
      <c r="C8">
        <v>17</v>
      </c>
      <c r="D8">
        <v>23</v>
      </c>
      <c r="F8">
        <v>40</v>
      </c>
      <c r="H8" s="4" t="s">
        <v>23</v>
      </c>
      <c r="I8">
        <v>3</v>
      </c>
      <c r="J8">
        <v>1</v>
      </c>
      <c r="P8">
        <v>4</v>
      </c>
    </row>
    <row r="9" spans="2:16" x14ac:dyDescent="0.4">
      <c r="B9" s="4" t="s">
        <v>51</v>
      </c>
      <c r="C9">
        <v>8</v>
      </c>
      <c r="D9">
        <v>2</v>
      </c>
      <c r="F9">
        <v>10</v>
      </c>
      <c r="H9" s="4" t="s">
        <v>45</v>
      </c>
      <c r="J9">
        <v>1</v>
      </c>
      <c r="L9">
        <v>2</v>
      </c>
      <c r="P9">
        <v>3</v>
      </c>
    </row>
    <row r="10" spans="2:16" x14ac:dyDescent="0.4">
      <c r="B10" s="4" t="s">
        <v>28</v>
      </c>
      <c r="C10">
        <v>3</v>
      </c>
      <c r="D10">
        <v>1</v>
      </c>
      <c r="F10">
        <v>4</v>
      </c>
      <c r="H10" s="4" t="s">
        <v>16</v>
      </c>
      <c r="I10">
        <v>4</v>
      </c>
      <c r="J10">
        <v>2</v>
      </c>
      <c r="K10">
        <v>3</v>
      </c>
      <c r="L10">
        <v>3</v>
      </c>
      <c r="M10">
        <v>2</v>
      </c>
      <c r="N10">
        <v>3</v>
      </c>
      <c r="P10">
        <v>17</v>
      </c>
    </row>
    <row r="11" spans="2:16" x14ac:dyDescent="0.4">
      <c r="B11" s="4" t="s">
        <v>140</v>
      </c>
      <c r="C11">
        <v>4</v>
      </c>
      <c r="D11">
        <v>4</v>
      </c>
      <c r="F11">
        <v>8</v>
      </c>
      <c r="H11" s="4" t="s">
        <v>51</v>
      </c>
      <c r="I11">
        <v>1</v>
      </c>
      <c r="J11">
        <v>2</v>
      </c>
      <c r="L11">
        <v>2</v>
      </c>
      <c r="M11">
        <v>1</v>
      </c>
      <c r="N11">
        <v>2</v>
      </c>
      <c r="P11">
        <v>8</v>
      </c>
    </row>
    <row r="12" spans="2:16" x14ac:dyDescent="0.4">
      <c r="B12" s="4" t="s">
        <v>337</v>
      </c>
      <c r="C12">
        <v>1</v>
      </c>
      <c r="D12">
        <v>1</v>
      </c>
      <c r="F12">
        <v>2</v>
      </c>
      <c r="H12" s="4" t="s">
        <v>28</v>
      </c>
      <c r="I12">
        <v>1</v>
      </c>
      <c r="J12">
        <v>1</v>
      </c>
      <c r="N12">
        <v>1</v>
      </c>
      <c r="P12">
        <v>3</v>
      </c>
    </row>
    <row r="13" spans="2:16" x14ac:dyDescent="0.4">
      <c r="B13" s="4" t="s">
        <v>343</v>
      </c>
      <c r="H13" s="4" t="s">
        <v>140</v>
      </c>
      <c r="I13">
        <v>2</v>
      </c>
      <c r="J13">
        <v>2</v>
      </c>
      <c r="P13">
        <v>4</v>
      </c>
    </row>
    <row r="14" spans="2:16" x14ac:dyDescent="0.4">
      <c r="B14" s="4" t="s">
        <v>58</v>
      </c>
      <c r="C14">
        <v>77</v>
      </c>
      <c r="D14">
        <v>74</v>
      </c>
      <c r="F14">
        <v>151</v>
      </c>
      <c r="H14" s="4" t="s">
        <v>337</v>
      </c>
      <c r="L14">
        <v>1</v>
      </c>
      <c r="P14">
        <v>1</v>
      </c>
    </row>
    <row r="15" spans="2:16" x14ac:dyDescent="0.4">
      <c r="H15" s="4" t="s">
        <v>58</v>
      </c>
      <c r="I15">
        <v>19</v>
      </c>
      <c r="J15">
        <v>21</v>
      </c>
      <c r="K15">
        <v>5</v>
      </c>
      <c r="L15">
        <v>17</v>
      </c>
      <c r="M15">
        <v>4</v>
      </c>
      <c r="N15">
        <v>9</v>
      </c>
      <c r="O15">
        <v>2</v>
      </c>
      <c r="P15">
        <v>77</v>
      </c>
    </row>
    <row r="18" spans="2:16" ht="21" x14ac:dyDescent="0.5">
      <c r="B18" s="10" t="s">
        <v>354</v>
      </c>
    </row>
    <row r="19" spans="2:16" x14ac:dyDescent="0.4">
      <c r="B19" s="3" t="s">
        <v>3</v>
      </c>
      <c r="C19" t="s">
        <v>14</v>
      </c>
    </row>
    <row r="21" spans="2:16" x14ac:dyDescent="0.4">
      <c r="B21" s="3" t="s">
        <v>61</v>
      </c>
      <c r="C21" s="3" t="s">
        <v>59</v>
      </c>
    </row>
    <row r="22" spans="2:16" ht="21" x14ac:dyDescent="0.5">
      <c r="B22" s="3" t="s">
        <v>57</v>
      </c>
      <c r="C22" t="s">
        <v>19</v>
      </c>
      <c r="D22" t="s">
        <v>26</v>
      </c>
      <c r="E22" t="s">
        <v>18</v>
      </c>
      <c r="F22" t="s">
        <v>58</v>
      </c>
      <c r="H22" s="10" t="s">
        <v>355</v>
      </c>
      <c r="K22" s="10" t="s">
        <v>356</v>
      </c>
    </row>
    <row r="23" spans="2:16" x14ac:dyDescent="0.4">
      <c r="B23" s="4" t="s">
        <v>21</v>
      </c>
      <c r="C23">
        <v>3</v>
      </c>
      <c r="D23">
        <v>6</v>
      </c>
      <c r="E23">
        <v>28</v>
      </c>
      <c r="F23">
        <v>37</v>
      </c>
      <c r="H23" s="3" t="s">
        <v>7</v>
      </c>
      <c r="I23" t="s">
        <v>239</v>
      </c>
      <c r="L23" s="3" t="s">
        <v>59</v>
      </c>
    </row>
    <row r="24" spans="2:16" x14ac:dyDescent="0.4">
      <c r="B24" s="4" t="s">
        <v>23</v>
      </c>
      <c r="E24">
        <v>4</v>
      </c>
      <c r="F24">
        <v>4</v>
      </c>
      <c r="L24" t="s">
        <v>169</v>
      </c>
      <c r="M24" t="s">
        <v>20</v>
      </c>
      <c r="N24" t="s">
        <v>15</v>
      </c>
      <c r="O24" t="s">
        <v>343</v>
      </c>
      <c r="P24" t="s">
        <v>58</v>
      </c>
    </row>
    <row r="25" spans="2:16" x14ac:dyDescent="0.4">
      <c r="B25" s="4" t="s">
        <v>45</v>
      </c>
      <c r="E25">
        <v>3</v>
      </c>
      <c r="F25">
        <v>3</v>
      </c>
      <c r="H25" s="3" t="s">
        <v>57</v>
      </c>
      <c r="I25" t="s">
        <v>61</v>
      </c>
      <c r="K25" t="s">
        <v>61</v>
      </c>
      <c r="L25">
        <v>9</v>
      </c>
      <c r="M25">
        <v>39</v>
      </c>
      <c r="N25">
        <v>103</v>
      </c>
      <c r="P25">
        <v>151</v>
      </c>
    </row>
    <row r="26" spans="2:16" x14ac:dyDescent="0.4">
      <c r="B26" s="4" t="s">
        <v>16</v>
      </c>
      <c r="C26">
        <v>2</v>
      </c>
      <c r="D26">
        <v>4</v>
      </c>
      <c r="E26">
        <v>11</v>
      </c>
      <c r="F26">
        <v>17</v>
      </c>
      <c r="H26" s="4" t="s">
        <v>21</v>
      </c>
      <c r="I26">
        <v>4</v>
      </c>
    </row>
    <row r="27" spans="2:16" x14ac:dyDescent="0.4">
      <c r="B27" s="4" t="s">
        <v>51</v>
      </c>
      <c r="C27">
        <v>1</v>
      </c>
      <c r="D27">
        <v>1</v>
      </c>
      <c r="E27">
        <v>6</v>
      </c>
      <c r="F27">
        <v>8</v>
      </c>
      <c r="H27" s="4" t="s">
        <v>23</v>
      </c>
      <c r="I27">
        <v>2</v>
      </c>
    </row>
    <row r="28" spans="2:16" x14ac:dyDescent="0.4">
      <c r="B28" s="4" t="s">
        <v>28</v>
      </c>
      <c r="D28">
        <v>1</v>
      </c>
      <c r="E28">
        <v>2</v>
      </c>
      <c r="F28">
        <v>3</v>
      </c>
      <c r="H28" s="4" t="s">
        <v>16</v>
      </c>
      <c r="I28">
        <v>3</v>
      </c>
    </row>
    <row r="29" spans="2:16" x14ac:dyDescent="0.4">
      <c r="B29" s="4" t="s">
        <v>140</v>
      </c>
      <c r="D29">
        <v>1</v>
      </c>
      <c r="E29">
        <v>3</v>
      </c>
      <c r="F29">
        <v>4</v>
      </c>
      <c r="H29" s="4" t="s">
        <v>58</v>
      </c>
      <c r="I29">
        <v>9</v>
      </c>
    </row>
    <row r="30" spans="2:16" x14ac:dyDescent="0.4">
      <c r="B30" s="4" t="s">
        <v>337</v>
      </c>
      <c r="E30">
        <v>1</v>
      </c>
      <c r="F30">
        <v>1</v>
      </c>
    </row>
    <row r="31" spans="2:16" x14ac:dyDescent="0.4">
      <c r="B31" s="4" t="s">
        <v>58</v>
      </c>
      <c r="C31">
        <v>6</v>
      </c>
      <c r="D31">
        <v>13</v>
      </c>
      <c r="E31">
        <v>58</v>
      </c>
      <c r="F31">
        <v>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BEC5-C25E-417E-B45A-9C5FB32EB3F0}">
  <dimension ref="J12:Q24"/>
  <sheetViews>
    <sheetView topLeftCell="A59" workbookViewId="0">
      <selection activeCell="E80" sqref="A1:XFD1048576"/>
    </sheetView>
  </sheetViews>
  <sheetFormatPr defaultRowHeight="16" x14ac:dyDescent="0.4"/>
  <sheetData>
    <row r="12" spans="10:17" x14ac:dyDescent="0.4">
      <c r="J12" s="6"/>
    </row>
    <row r="13" spans="10:17" x14ac:dyDescent="0.4">
      <c r="J13" s="5"/>
    </row>
    <row r="14" spans="10:17" x14ac:dyDescent="0.4">
      <c r="J14" s="5"/>
    </row>
    <row r="15" spans="10:17" x14ac:dyDescent="0.4">
      <c r="J15" s="5"/>
      <c r="Q15" s="6"/>
    </row>
    <row r="16" spans="10:17" x14ac:dyDescent="0.4">
      <c r="J16" s="5"/>
      <c r="M16" s="6"/>
      <c r="Q16" s="6"/>
    </row>
    <row r="17" spans="10:17" x14ac:dyDescent="0.4">
      <c r="J17" s="5"/>
      <c r="M17" s="6"/>
      <c r="Q17" s="6"/>
    </row>
    <row r="18" spans="10:17" x14ac:dyDescent="0.4">
      <c r="J18" s="5"/>
      <c r="M18" s="6"/>
      <c r="Q18" s="5"/>
    </row>
    <row r="19" spans="10:17" x14ac:dyDescent="0.4">
      <c r="J19" s="5"/>
      <c r="M19" s="5"/>
      <c r="Q19" s="5"/>
    </row>
    <row r="20" spans="10:17" x14ac:dyDescent="0.4">
      <c r="J20" s="5"/>
      <c r="M20" s="5"/>
      <c r="Q20" s="5"/>
    </row>
    <row r="21" spans="10:17" x14ac:dyDescent="0.4">
      <c r="J21" s="5"/>
      <c r="M21" s="5"/>
      <c r="Q21" s="5"/>
    </row>
    <row r="22" spans="10:17" x14ac:dyDescent="0.4">
      <c r="J22" s="5"/>
    </row>
    <row r="23" spans="10:17" x14ac:dyDescent="0.4">
      <c r="J23" s="5"/>
    </row>
    <row r="24" spans="10:17" x14ac:dyDescent="0.4">
      <c r="J24"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c5d2e676-5abe-4865-bb74-1002e9f9dbb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EB69BF7B5B3E143888D510B790BE608" ma:contentTypeVersion="20" ma:contentTypeDescription="Create a new document." ma:contentTypeScope="" ma:versionID="d5e730d43f1524238c8387cd04cad6a8">
  <xsd:schema xmlns:xsd="http://www.w3.org/2001/XMLSchema" xmlns:xs="http://www.w3.org/2001/XMLSchema" xmlns:p="http://schemas.microsoft.com/office/2006/metadata/properties" xmlns:ns1="http://schemas.microsoft.com/sharepoint/v3" xmlns:ns3="c5d2e676-5abe-4865-bb74-1002e9f9dbb0" xmlns:ns4="719098d1-6451-419c-9199-da853f312a66" targetNamespace="http://schemas.microsoft.com/office/2006/metadata/properties" ma:root="true" ma:fieldsID="8ce80e45d1c7868589b3c92ad1bd3634" ns1:_="" ns3:_="" ns4:_="">
    <xsd:import namespace="http://schemas.microsoft.com/sharepoint/v3"/>
    <xsd:import namespace="c5d2e676-5abe-4865-bb74-1002e9f9dbb0"/>
    <xsd:import namespace="719098d1-6451-419c-9199-da853f312a6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1:_ip_UnifiedCompliancePolicyProperties" minOccurs="0"/>
                <xsd:element ref="ns1:_ip_UnifiedCompliancePolicyUIAction"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d2e676-5abe-4865-bb74-1002e9f9db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Location" ma:index="27"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9098d1-6451-419c-9199-da853f312a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91E34C-DAA1-4FE6-A66D-03AC4996E397}">
  <ds:schemaRefs>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purl.org/dc/terms/"/>
    <ds:schemaRef ds:uri="719098d1-6451-419c-9199-da853f312a66"/>
    <ds:schemaRef ds:uri="c5d2e676-5abe-4865-bb74-1002e9f9dbb0"/>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EBA2118B-1C63-49AA-AAD7-B405690E67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5d2e676-5abe-4865-bb74-1002e9f9dbb0"/>
    <ds:schemaRef ds:uri="719098d1-6451-419c-9199-da853f312a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25CCD5-6D23-4A00-98FD-BDB17AE4701C}">
  <ds:schemaRefs>
    <ds:schemaRef ds:uri="http://schemas.microsoft.com/sharepoint/v3/contenttype/forms"/>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data</vt:lpstr>
      <vt:lpstr>SLA</vt:lpstr>
      <vt:lpstr>Pivot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dc:creator>
  <cp:lastModifiedBy>Kathyayini Kamath</cp:lastModifiedBy>
  <dcterms:created xsi:type="dcterms:W3CDTF">2026-04-08T04:11:09Z</dcterms:created>
  <dcterms:modified xsi:type="dcterms:W3CDTF">2026-07-20T11:08:50Z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0x010100EEB69BF7B5B3E143888D510B790BE608</vt:lpwstr>
  </property>
</Properties>
</file>